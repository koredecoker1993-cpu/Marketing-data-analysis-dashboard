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ore\Downloads\"/>
    </mc:Choice>
  </mc:AlternateContent>
  <xr:revisionPtr revIDLastSave="0" documentId="13_ncr:1_{D2426D75-83C5-4F25-AFF9-C700CBBD59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  <sheet name="Worksheet" sheetId="1" r:id="rId2"/>
  </sheets>
  <definedNames>
    <definedName name="_xlnm._FilterDatabase" localSheetId="1" hidden="1">Worksheet!$A$1:$P$49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F25" i="2"/>
  <c r="F24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2" i="1"/>
  <c r="P14" i="1"/>
  <c r="P2" i="1"/>
</calcChain>
</file>

<file path=xl/sharedStrings.xml><?xml version="1.0" encoding="utf-8"?>
<sst xmlns="http://schemas.openxmlformats.org/spreadsheetml/2006/main" count="322" uniqueCount="74">
  <si>
    <t>Reporting starts</t>
  </si>
  <si>
    <t>Reporting ends</t>
  </si>
  <si>
    <t>Campaign Delivery</t>
  </si>
  <si>
    <t>Ad set budget</t>
  </si>
  <si>
    <t>Ad set budget type</t>
  </si>
  <si>
    <t>Attribution setting</t>
  </si>
  <si>
    <t>Results</t>
  </si>
  <si>
    <t>Result indicator</t>
  </si>
  <si>
    <t>Reach</t>
  </si>
  <si>
    <t>Impressions</t>
  </si>
  <si>
    <t>Cost per results</t>
  </si>
  <si>
    <t>Amount spent (USD)</t>
  </si>
  <si>
    <t>Ends</t>
  </si>
  <si>
    <t>inactive</t>
  </si>
  <si>
    <t>Daily</t>
  </si>
  <si>
    <t>7-day click or 1-day view</t>
  </si>
  <si>
    <t>actions:onsite_conversion.lead_grouped</t>
  </si>
  <si>
    <t>completed</t>
  </si>
  <si>
    <t>actions:click_to_call_call_confirm</t>
  </si>
  <si>
    <t>not_delivering</t>
  </si>
  <si>
    <t>Lifetime</t>
  </si>
  <si>
    <t>actions:link_click</t>
  </si>
  <si>
    <t>reach</t>
  </si>
  <si>
    <t>active</t>
  </si>
  <si>
    <t>Campaign name clean</t>
  </si>
  <si>
    <t>N/A</t>
  </si>
  <si>
    <t>Instagram Post: Do You Know That You Can</t>
  </si>
  <si>
    <t>Ng- Ctm (Tech Interest) Lead Gen</t>
  </si>
  <si>
    <t>Uk-Free Taster Session (Nigerians In Uk Schools ) Lead Gen</t>
  </si>
  <si>
    <t>Uk - Discount Offer (Call Bac</t>
  </si>
  <si>
    <t>Uk- The Big Career Event (Lead Gen</t>
  </si>
  <si>
    <t>Uk - The Big Career Event (Lead Gen)</t>
  </si>
  <si>
    <t>Ng- The Big Career Event (Lead Gen)</t>
  </si>
  <si>
    <t>Uk-Yulitide Discount - Lead Gen</t>
  </si>
  <si>
    <t>Ng- Presale Discount Offer-Lead Gen/Messenger- 2</t>
  </si>
  <si>
    <t>Instagram Post: Christmas Discount!!!
C</t>
  </si>
  <si>
    <t>Uk - November Cohort (Tech Interest)Lead Call Back</t>
  </si>
  <si>
    <t>Ng- November Cohort(Tech Interest)Leads Gen</t>
  </si>
  <si>
    <t>Ng- November Big Career Event(Tech Interes</t>
  </si>
  <si>
    <t>Uk- Christmas Discount Offer(Lead Gen</t>
  </si>
  <si>
    <t>Uk- Free Taster Session(Tech Interest)Lead Ge</t>
  </si>
  <si>
    <t>Ng- Free Taster Session (Tech Interest) Lead Ge</t>
  </si>
  <si>
    <t>Uk- Free Taster Session(Uk Students)Lead Ge</t>
  </si>
  <si>
    <t>Uk- Free Business Analysis Training Conversion(Tech Interest)</t>
  </si>
  <si>
    <t>Uk-Discount Offer(Lead Gen)Tech Interest</t>
  </si>
  <si>
    <t>Uk - Free Taster Session (Non- Expat) Tech Interest</t>
  </si>
  <si>
    <t>Uk- Christmas Discount(Tech Interest)Lead Gen/</t>
  </si>
  <si>
    <t>Uk- Testimonial Ads (Tech Interest) Brand Awareness Ad</t>
  </si>
  <si>
    <t>Uk- Christmas Discount(Tech Interest</t>
  </si>
  <si>
    <t>Uk- Intro Business Analysis- Auto Webinar</t>
  </si>
  <si>
    <t>Uk- Christmas Discount(Tech Expe</t>
  </si>
  <si>
    <t>Instagram Post: Black Friday Discount!</t>
  </si>
  <si>
    <t>Uk- Free Taster Session (Uk Students) -</t>
  </si>
  <si>
    <t>Uk- Free Taster Session(Tech Interest) Non Expa</t>
  </si>
  <si>
    <t>Uk- Career Launch(International Student)Lead Gen</t>
  </si>
  <si>
    <t>Ng- Free Taster Session(Tech Interest) Lead Gen</t>
  </si>
  <si>
    <t>Uk- Career Launch In Tech- (Tech Interest) Lead Gen</t>
  </si>
  <si>
    <t>Uk-Intro To Data (Replay Session) Custom Conversion</t>
  </si>
  <si>
    <t>Uk- Intro To Business Analysis(Custom Conversion</t>
  </si>
  <si>
    <t>Uk-Intro To D.A (Lead Gen</t>
  </si>
  <si>
    <t>Country</t>
  </si>
  <si>
    <t>Instagram</t>
  </si>
  <si>
    <t>Nigeria</t>
  </si>
  <si>
    <t>United Kingdom</t>
  </si>
  <si>
    <t>Grand Total</t>
  </si>
  <si>
    <t>Count of Campaign name clean</t>
  </si>
  <si>
    <t>Campaign name</t>
  </si>
  <si>
    <t>KPI 1: Compare number of campaigns in all countries</t>
  </si>
  <si>
    <t>KPI 2: Average number of campaigns per country on monthly basis</t>
  </si>
  <si>
    <t>Month</t>
  </si>
  <si>
    <t>Dec  2023</t>
  </si>
  <si>
    <t>Nov  2023</t>
  </si>
  <si>
    <t>Oct  2023</t>
  </si>
  <si>
    <t>Average campaigns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</si>
</sst>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£&quot;#,##0.0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14" fontId="0" fillId="0" borderId="1" xfId="0" applyNumberFormat="1" applyBorder="1"/>
    <xf numFmtId="14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  <xf numFmtId="1" fontId="1" fillId="0" borderId="1" xfId="0" applyNumberFormat="1" applyFont="1" applyBorder="1"/>
    <xf numFmtId="1" fontId="0" fillId="0" borderId="1" xfId="0" applyNumberFormat="1" applyBorder="1"/>
    <xf numFmtId="1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49" fontId="2" fillId="0" borderId="1" xfId="0" applyNumberFormat="1" applyFont="1" applyBorder="1"/>
    <xf numFmtId="3" fontId="1" fillId="0" borderId="1" xfId="0" applyNumberFormat="1" applyFont="1" applyBorder="1"/>
    <xf numFmtId="3" fontId="0" fillId="0" borderId="1" xfId="0" applyNumberFormat="1" applyBorder="1"/>
    <xf numFmtId="3" fontId="0" fillId="0" borderId="0" xfId="0" applyNumberFormat="1"/>
    <xf numFmtId="0" fontId="0" fillId="0" borderId="2" xfId="0" pivotButton="1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49" fontId="3" fillId="0" borderId="1" xfId="0" applyNumberFormat="1" applyFon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2" xfId="0" applyNumberFormat="1" applyBorder="1"/>
    <xf numFmtId="0" fontId="0" fillId="0" borderId="11" xfId="0" applyNumberFormat="1" applyBorder="1"/>
    <xf numFmtId="0" fontId="0" fillId="0" borderId="3" xfId="0" applyNumberFormat="1" applyBorder="1"/>
    <xf numFmtId="0" fontId="0" fillId="0" borderId="12" xfId="0" applyNumberFormat="1" applyBorder="1"/>
    <xf numFmtId="0" fontId="0" fillId="0" borderId="7" xfId="0" applyNumberFormat="1" applyBorder="1"/>
    <xf numFmtId="0" fontId="0" fillId="0" borderId="1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ACUK - Facebook Ads Campaign 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Number of Campaigns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4A51DF-440C-45A1-A641-DDE76322E831}" type="VALUE">
                  <a:rPr lang="en-US" sz="1200" b="1"/>
                  <a:pPr>
                    <a:defRPr/>
                  </a:pPr>
                  <a:t>[VALUE]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5E6893-6F22-4177-BFD7-DEB5F03A2614}" type="VALUE">
                  <a:rPr lang="en-US" sz="1200" b="1"/>
                  <a:pPr>
                    <a:defRPr sz="1200" b="1"/>
                  </a:pPr>
                  <a:t>[VALUE]</a:t>
                </a:fld>
                <a:endParaRPr lang="en-GB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25E6893-6F22-4177-BFD7-DEB5F03A2614}" type="VALUE">
                      <a:rPr lang="en-US" sz="1200" b="1"/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542-4686-8E3B-A888755A0F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4A51DF-440C-45A1-A641-DDE76322E831}" type="VALUE">
                      <a:rPr lang="en-US" sz="1200" b="1"/>
                      <a:pPr/>
                      <a:t>[VALUE]</a:t>
                    </a:fld>
                    <a:endParaRPr lang="en-GB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542-4686-8E3B-A888755A0F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Sheet1!$A$6:$A$8</c:f>
              <c:strCache>
                <c:ptCount val="2"/>
                <c:pt idx="0">
                  <c:v>Nigeria</c:v>
                </c:pt>
                <c:pt idx="1">
                  <c:v>United Kingdom</c:v>
                </c:pt>
              </c:strCache>
            </c:strRef>
          </c:cat>
          <c:val>
            <c:numRef>
              <c:f>Sheet1!$B$6:$B$8</c:f>
              <c:numCache>
                <c:formatCode>General</c:formatCode>
                <c:ptCount val="2"/>
                <c:pt idx="0">
                  <c:v>11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2-4686-8E3B-A888755A0F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5347232"/>
        <c:axId val="1145351072"/>
      </c:barChart>
      <c:catAx>
        <c:axId val="1145347232"/>
        <c:scaling>
          <c:orientation val="minMax"/>
        </c:scaling>
        <c:delete val="0"/>
        <c:axPos val="l"/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51072"/>
        <c:crosses val="autoZero"/>
        <c:auto val="1"/>
        <c:lblAlgn val="ctr"/>
        <c:lblOffset val="100"/>
        <c:noMultiLvlLbl val="0"/>
      </c:catAx>
      <c:valAx>
        <c:axId val="1145351072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Count Of</a:t>
                </a:r>
                <a:r>
                  <a:rPr lang="en-GB" b="1" baseline="0"/>
                  <a:t> Campaign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4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ACUK - Facebook Ads Campaign data.xlsx]Sheet1!PivotTable2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Sheet1!$B$21:$B$22</c:f>
              <c:strCache>
                <c:ptCount val="1"/>
                <c:pt idx="0">
                  <c:v>Dec  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Sheet1!$A$23:$A$25</c:f>
              <c:strCache>
                <c:ptCount val="2"/>
                <c:pt idx="0">
                  <c:v>Nigeria</c:v>
                </c:pt>
                <c:pt idx="1">
                  <c:v>United Kingdom</c:v>
                </c:pt>
              </c:strCache>
            </c:strRef>
          </c:cat>
          <c:val>
            <c:numRef>
              <c:f>Sheet1!$B$23:$B$25</c:f>
              <c:numCache>
                <c:formatCode>General</c:formatCode>
                <c:ptCount val="2"/>
                <c:pt idx="0">
                  <c:v>3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3-4649-85CE-A9FB1257756A}"/>
            </c:ext>
          </c:extLst>
        </c:ser>
        <c:ser>
          <c:idx val="1"/>
          <c:order val="1"/>
          <c:tx>
            <c:strRef>
              <c:f>Sheet1!$C$21:$C$22</c:f>
              <c:strCache>
                <c:ptCount val="1"/>
                <c:pt idx="0">
                  <c:v>Nov  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Sheet1!$A$23:$A$25</c:f>
              <c:strCache>
                <c:ptCount val="2"/>
                <c:pt idx="0">
                  <c:v>Nigeria</c:v>
                </c:pt>
                <c:pt idx="1">
                  <c:v>United Kingdom</c:v>
                </c:pt>
              </c:strCache>
            </c:strRef>
          </c:cat>
          <c:val>
            <c:numRef>
              <c:f>Sheet1!$C$23:$C$25</c:f>
              <c:numCache>
                <c:formatCode>General</c:formatCode>
                <c:ptCount val="2"/>
                <c:pt idx="0">
                  <c:v>4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A3-4649-85CE-A9FB1257756A}"/>
            </c:ext>
          </c:extLst>
        </c:ser>
        <c:ser>
          <c:idx val="2"/>
          <c:order val="2"/>
          <c:tx>
            <c:strRef>
              <c:f>Sheet1!$D$21:$D$22</c:f>
              <c:strCache>
                <c:ptCount val="1"/>
                <c:pt idx="0">
                  <c:v>Oct  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Sheet1!$A$23:$A$25</c:f>
              <c:strCache>
                <c:ptCount val="2"/>
                <c:pt idx="0">
                  <c:v>Nigeria</c:v>
                </c:pt>
                <c:pt idx="1">
                  <c:v>United Kingdom</c:v>
                </c:pt>
              </c:strCache>
            </c:strRef>
          </c:cat>
          <c:val>
            <c:numRef>
              <c:f>Sheet1!$D$23:$D$25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A3-4649-85CE-A9FB125775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00900384"/>
        <c:axId val="1400914304"/>
      </c:barChart>
      <c:catAx>
        <c:axId val="14009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4304"/>
        <c:crosses val="autoZero"/>
        <c:auto val="1"/>
        <c:lblAlgn val="ctr"/>
        <c:lblOffset val="100"/>
        <c:noMultiLvlLbl val="0"/>
      </c:catAx>
      <c:valAx>
        <c:axId val="14009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0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0</xdr:row>
      <xdr:rowOff>114300</xdr:rowOff>
    </xdr:from>
    <xdr:to>
      <xdr:col>11</xdr:col>
      <xdr:colOff>254000</xdr:colOff>
      <xdr:row>13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7F281-C6D4-D6EC-26B7-E9FD941BD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666750</xdr:colOff>
      <xdr:row>14</xdr:row>
      <xdr:rowOff>117475</xdr:rowOff>
    </xdr:from>
    <xdr:to>
      <xdr:col>8</xdr:col>
      <xdr:colOff>927100</xdr:colOff>
      <xdr:row>29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4CE8CF-DCFC-0F5C-D764-225BBC974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orede Coker" refreshedDate="46154.743322222224" createdVersion="8" refreshedVersion="8" minRefreshableVersion="3" recordCount="48" xr:uid="{58F417DC-352F-4B9E-B6E9-E751C0A1C7A7}">
  <cacheSource type="worksheet">
    <worksheetSource ref="A1:P49" sheet="Worksheet"/>
  </cacheSource>
  <cacheFields count="16">
    <cacheField name="Reporting starts" numFmtId="14">
      <sharedItems containsSemiMixedTypes="0" containsNonDate="0" containsDate="1" containsString="0" minDate="2023-10-01T00:00:00" maxDate="2023-12-02T00:00:00"/>
    </cacheField>
    <cacheField name="Month" numFmtId="14">
      <sharedItems count="3">
        <s v="Oct  2023"/>
        <s v="Nov  2023"/>
        <s v="Dec  2023"/>
      </sharedItems>
    </cacheField>
    <cacheField name="Reporting ends" numFmtId="14">
      <sharedItems containsSemiMixedTypes="0" containsNonDate="0" containsDate="1" containsString="0" minDate="2023-10-31T00:00:00" maxDate="2024-01-01T00:00:00"/>
    </cacheField>
    <cacheField name="Campaign name clean" numFmtId="49">
      <sharedItems count="35">
        <s v="Instagram Post: Do You Know That You Can"/>
        <s v="Ng- Ctm (Tech Interest) Lead Gen"/>
        <s v="Uk-Free Taster Session (Nigerians In Uk Schools ) Lead Gen"/>
        <s v="Uk - Discount Offer (Call Bac"/>
        <s v="Uk- The Big Career Event (Lead Gen"/>
        <s v="Uk - The Big Career Event (Lead Gen)"/>
        <s v="Ng- The Big Career Event (Lead Gen)"/>
        <s v="Uk-Yulitide Discount - Lead Gen"/>
        <s v="Ng- Presale Discount Offer-Lead Gen/Messenger- 2"/>
        <s v="Instagram Post: Christmas Discount!!!_x000a_C"/>
        <s v="Uk - November Cohort (Tech Interest)Lead Call Back"/>
        <s v="Ng- November Cohort(Tech Interest)Leads Gen"/>
        <s v="Ng- November Big Career Event(Tech Interes"/>
        <s v="Uk- Christmas Discount Offer(Lead Gen"/>
        <s v="Uk- Free Taster Session(Tech Interest)Lead Ge"/>
        <s v="Ng- Free Taster Session (Tech Interest) Lead Ge"/>
        <s v="Uk- Free Taster Session(Uk Students)Lead Ge"/>
        <s v="Uk- Free Business Analysis Training Conversion(Tech Interest)"/>
        <s v="Uk-Discount Offer(Lead Gen)Tech Interest"/>
        <s v="Uk - Free Taster Session (Non- Expat) Tech Interest"/>
        <s v="Uk- Christmas Discount(Tech Interest)Lead Gen/"/>
        <s v="Uk- Testimonial Ads (Tech Interest) Brand Awareness Ad"/>
        <s v="Uk- Christmas Discount(Tech Interest"/>
        <s v="Uk- Intro Business Analysis- Auto Webinar"/>
        <s v="Uk- Christmas Discount(Tech Expe"/>
        <s v="Instagram Post: Black Friday Discount!"/>
        <s v="Uk- Free Taster Session (Uk Students) -"/>
        <s v="Uk- Free Taster Session(Tech Interest) Non Expa"/>
        <s v="Uk- Career Launch(International Student)Lead Gen"/>
        <s v="Ng- Free Taster Session(Tech Interest) Lead Gen"/>
        <s v="Uk- Career Launch In Tech- (Tech Interest) Lead Gen"/>
        <s v="Instagram"/>
        <s v="Uk-Intro To Data (Replay Session) Custom Conversion"/>
        <s v="Uk- Intro To Business Analysis(Custom Conversion"/>
        <s v="Uk-Intro To D.A (Lead Gen"/>
      </sharedItems>
    </cacheField>
    <cacheField name="Country" numFmtId="49">
      <sharedItems count="4">
        <s v="Instagram"/>
        <s v="Nigeria"/>
        <s v="United Kingdom"/>
        <s v="Other" u="1"/>
      </sharedItems>
    </cacheField>
    <cacheField name="Campaign Delivery" numFmtId="49">
      <sharedItems/>
    </cacheField>
    <cacheField name="Ad set budget" numFmtId="1">
      <sharedItems containsSemiMixedTypes="0" containsString="0" containsNumber="1" containsInteger="1" minValue="5" maxValue="150"/>
    </cacheField>
    <cacheField name="Ad set budget type" numFmtId="49">
      <sharedItems/>
    </cacheField>
    <cacheField name="Attribution setting" numFmtId="49">
      <sharedItems/>
    </cacheField>
    <cacheField name="Results" numFmtId="1">
      <sharedItems containsSemiMixedTypes="0" containsString="0" containsNumber="1" containsInteger="1" minValue="0" maxValue="24126"/>
    </cacheField>
    <cacheField name="Result indicator" numFmtId="49">
      <sharedItems/>
    </cacheField>
    <cacheField name="Reach" numFmtId="3">
      <sharedItems containsSemiMixedTypes="0" containsString="0" containsNumber="1" containsInteger="1" minValue="293" maxValue="110839"/>
    </cacheField>
    <cacheField name="Impressions" numFmtId="3">
      <sharedItems containsSemiMixedTypes="0" containsString="0" containsNumber="1" containsInteger="1" minValue="302" maxValue="174633"/>
    </cacheField>
    <cacheField name="Cost per results" numFmtId="165">
      <sharedItems containsSemiMixedTypes="0" containsString="0" containsNumber="1" minValue="0" maxValue="31.69"/>
    </cacheField>
    <cacheField name="Amount spent (USD)" numFmtId="165">
      <sharedItems containsSemiMixedTypes="0" containsString="0" containsNumber="1" minValue="0.51" maxValue="750.06"/>
    </cacheField>
    <cacheField name="Ends" numFmtId="14">
      <sharedItems containsSemiMixedTypes="0" containsNonDate="0" containsDate="1" containsString="0" minDate="2023-10-10T00:00:00" maxDate="2026-05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d v="2023-10-01T00:00:00"/>
    <x v="0"/>
    <d v="2023-10-31T00:00:00"/>
    <x v="0"/>
    <x v="0"/>
    <s v="inactive"/>
    <n v="7"/>
    <s v="Daily"/>
    <s v="7-day click or 1-day view"/>
    <n v="37"/>
    <s v="actions:onsite_conversion.lead_grouped"/>
    <n v="12595"/>
    <n v="17503"/>
    <n v="5.8778378399999998"/>
    <n v="217.48"/>
    <d v="2026-05-12T00:00:00"/>
  </r>
  <r>
    <d v="2023-10-01T00:00:00"/>
    <x v="0"/>
    <d v="2023-10-31T00:00:00"/>
    <x v="1"/>
    <x v="1"/>
    <s v="completed"/>
    <n v="5"/>
    <s v="Daily"/>
    <s v="7-day click or 1-day view"/>
    <n v="371"/>
    <s v="actions:onsite_conversion.lead_grouped"/>
    <n v="59716"/>
    <n v="98351"/>
    <n v="0.40420485"/>
    <n v="149.96"/>
    <d v="2023-10-31T00:00:00"/>
  </r>
  <r>
    <d v="2023-10-01T00:00:00"/>
    <x v="0"/>
    <d v="2023-10-31T00:00:00"/>
    <x v="2"/>
    <x v="2"/>
    <s v="completed"/>
    <n v="20"/>
    <s v="Daily"/>
    <s v="7-day click or 1-day view"/>
    <n v="101"/>
    <s v="actions:onsite_conversion.lead_grouped"/>
    <n v="25634"/>
    <n v="39879"/>
    <n v="5.94049505"/>
    <n v="599.99"/>
    <d v="2023-10-31T00:00:00"/>
  </r>
  <r>
    <d v="2023-10-01T00:00:00"/>
    <x v="0"/>
    <d v="2023-10-31T00:00:00"/>
    <x v="3"/>
    <x v="2"/>
    <s v="completed"/>
    <n v="20"/>
    <s v="Daily"/>
    <s v="7-day click or 1-day view"/>
    <n v="2"/>
    <s v="actions:click_to_call_call_confirm"/>
    <n v="2397"/>
    <n v="3236"/>
    <n v="19.55"/>
    <n v="39.1"/>
    <d v="2023-10-10T00:00:00"/>
  </r>
  <r>
    <d v="2023-10-01T00:00:00"/>
    <x v="0"/>
    <d v="2023-10-31T00:00:00"/>
    <x v="4"/>
    <x v="2"/>
    <s v="inactive"/>
    <n v="20"/>
    <s v="Daily"/>
    <s v="7-day click or 1-day view"/>
    <n v="59"/>
    <s v="actions:onsite_conversion.lead_grouped"/>
    <n v="21322"/>
    <n v="34174"/>
    <n v="7.6544067800000004"/>
    <n v="451.61"/>
    <d v="2023-12-31T00:00:00"/>
  </r>
  <r>
    <d v="2023-10-01T00:00:00"/>
    <x v="0"/>
    <d v="2023-10-31T00:00:00"/>
    <x v="5"/>
    <x v="2"/>
    <s v="completed"/>
    <n v="20"/>
    <s v="Daily"/>
    <s v="7-day click or 1-day view"/>
    <n v="23"/>
    <s v="actions:onsite_conversion.lead_grouped"/>
    <n v="7140"/>
    <n v="12717"/>
    <n v="7.5669565199999997"/>
    <n v="174.04"/>
    <d v="2023-10-28T00:00:00"/>
  </r>
  <r>
    <d v="2023-10-01T00:00:00"/>
    <x v="0"/>
    <d v="2023-10-31T00:00:00"/>
    <x v="6"/>
    <x v="1"/>
    <s v="completed"/>
    <n v="5"/>
    <s v="Daily"/>
    <s v="7-day click or 1-day view"/>
    <n v="154"/>
    <s v="actions:onsite_conversion.lead_grouped"/>
    <n v="24594"/>
    <n v="41992"/>
    <n v="0.28253246999999998"/>
    <n v="43.51"/>
    <d v="2023-12-23T00:00:00"/>
  </r>
  <r>
    <d v="2023-10-01T00:00:00"/>
    <x v="0"/>
    <d v="2023-10-31T00:00:00"/>
    <x v="7"/>
    <x v="2"/>
    <s v="not_delivering"/>
    <n v="20"/>
    <s v="Daily"/>
    <s v="7-day click or 1-day view"/>
    <n v="4"/>
    <s v="actions:onsite_conversion.lead_grouped"/>
    <n v="3995"/>
    <n v="5974"/>
    <n v="24.175000000000001"/>
    <n v="96.7"/>
    <d v="2023-10-31T00:00:00"/>
  </r>
  <r>
    <d v="2023-10-01T00:00:00"/>
    <x v="0"/>
    <d v="2023-10-31T00:00:00"/>
    <x v="8"/>
    <x v="1"/>
    <s v="completed"/>
    <n v="5"/>
    <s v="Daily"/>
    <s v="7-day click or 1-day view"/>
    <n v="29"/>
    <s v="actions:onsite_conversion.lead_grouped"/>
    <n v="8524"/>
    <n v="11632"/>
    <n v="0.95793103000000002"/>
    <n v="27.78"/>
    <d v="2023-10-31T00:00:00"/>
  </r>
  <r>
    <d v="2023-10-01T00:00:00"/>
    <x v="0"/>
    <d v="2023-10-31T00:00:00"/>
    <x v="9"/>
    <x v="0"/>
    <s v="completed"/>
    <n v="30"/>
    <s v="Lifetime"/>
    <s v="7-day click or 1-day view"/>
    <n v="45"/>
    <s v="actions:link_click"/>
    <n v="3940"/>
    <n v="5097"/>
    <n v="0.59222222000000002"/>
    <n v="26.65"/>
    <d v="2023-11-01T00:00:00"/>
  </r>
  <r>
    <d v="2023-10-01T00:00:00"/>
    <x v="0"/>
    <d v="2023-10-31T00:00:00"/>
    <x v="10"/>
    <x v="2"/>
    <s v="completed"/>
    <n v="20"/>
    <s v="Daily"/>
    <s v="7-day click or 1-day view"/>
    <n v="0"/>
    <s v="N/A"/>
    <n v="6817"/>
    <n v="9293"/>
    <n v="0"/>
    <n v="36.61"/>
    <d v="2023-11-07T00:00:00"/>
  </r>
  <r>
    <d v="2023-10-01T00:00:00"/>
    <x v="0"/>
    <d v="2023-10-31T00:00:00"/>
    <x v="11"/>
    <x v="1"/>
    <s v="completed"/>
    <n v="5"/>
    <s v="Daily"/>
    <s v="7-day click or 1-day view"/>
    <n v="8"/>
    <s v="actions:onsite_conversion.lead_grouped"/>
    <n v="3761"/>
    <n v="4613"/>
    <n v="1.20875"/>
    <n v="9.67"/>
    <d v="2023-11-07T00:00:00"/>
  </r>
  <r>
    <d v="2023-11-01T00:00:00"/>
    <x v="1"/>
    <d v="2023-11-30T00:00:00"/>
    <x v="0"/>
    <x v="0"/>
    <s v="inactive"/>
    <n v="7"/>
    <s v="Daily"/>
    <s v="7-day click or 1-day view"/>
    <n v="10"/>
    <s v="actions:onsite_conversion.lead_grouped"/>
    <n v="4788"/>
    <n v="5602"/>
    <n v="8.9670000000000005"/>
    <n v="89.67"/>
    <d v="2026-05-12T00:00:00"/>
  </r>
  <r>
    <d v="2023-11-01T00:00:00"/>
    <x v="1"/>
    <d v="2023-11-30T00:00:00"/>
    <x v="4"/>
    <x v="2"/>
    <s v="inactive"/>
    <n v="20"/>
    <s v="Daily"/>
    <s v="7-day click or 1-day view"/>
    <n v="23"/>
    <s v="actions:onsite_conversion.lead_grouped"/>
    <n v="7633"/>
    <n v="10120"/>
    <n v="6.9208695699999998"/>
    <n v="159.18"/>
    <d v="2023-12-31T00:00:00"/>
  </r>
  <r>
    <d v="2023-11-01T00:00:00"/>
    <x v="1"/>
    <d v="2023-11-30T00:00:00"/>
    <x v="6"/>
    <x v="1"/>
    <s v="completed"/>
    <n v="5"/>
    <s v="Daily"/>
    <s v="7-day click or 1-day view"/>
    <n v="233"/>
    <s v="actions:onsite_conversion.lead_grouped"/>
    <n v="29519"/>
    <n v="57015"/>
    <n v="0.51309013000000003"/>
    <n v="119.55"/>
    <d v="2023-12-23T00:00:00"/>
  </r>
  <r>
    <d v="2023-11-01T00:00:00"/>
    <x v="1"/>
    <d v="2023-11-30T00:00:00"/>
    <x v="9"/>
    <x v="0"/>
    <s v="completed"/>
    <n v="30"/>
    <s v="Lifetime"/>
    <s v="7-day click or 1-day view"/>
    <n v="10"/>
    <s v="actions:link_click"/>
    <n v="641"/>
    <n v="664"/>
    <n v="0.33500000000000002"/>
    <n v="3.35"/>
    <d v="2023-11-01T00:00:00"/>
  </r>
  <r>
    <d v="2023-11-01T00:00:00"/>
    <x v="1"/>
    <d v="2023-11-30T00:00:00"/>
    <x v="10"/>
    <x v="2"/>
    <s v="completed"/>
    <n v="20"/>
    <s v="Daily"/>
    <s v="7-day click or 1-day view"/>
    <n v="2"/>
    <s v="actions:click_to_call_call_confirm"/>
    <n v="6012"/>
    <n v="9197"/>
    <n v="20"/>
    <n v="40"/>
    <d v="2023-11-07T00:00:00"/>
  </r>
  <r>
    <d v="2023-11-01T00:00:00"/>
    <x v="1"/>
    <d v="2023-11-30T00:00:00"/>
    <x v="11"/>
    <x v="1"/>
    <s v="completed"/>
    <n v="5"/>
    <s v="Daily"/>
    <s v="7-day click or 1-day view"/>
    <n v="0"/>
    <s v="N/A"/>
    <n v="293"/>
    <n v="302"/>
    <n v="0"/>
    <n v="0.51"/>
    <d v="2023-11-07T00:00:00"/>
  </r>
  <r>
    <d v="2023-11-01T00:00:00"/>
    <x v="1"/>
    <d v="2023-11-30T00:00:00"/>
    <x v="12"/>
    <x v="1"/>
    <s v="inactive"/>
    <n v="5"/>
    <s v="Daily"/>
    <s v="7-day click or 1-day view"/>
    <n v="297"/>
    <s v="actions:onsite_conversion.lead_grouped"/>
    <n v="48304"/>
    <n v="82960"/>
    <n v="0.46316498"/>
    <n v="137.56"/>
    <d v="2023-12-02T00:00:00"/>
  </r>
  <r>
    <d v="2023-11-01T00:00:00"/>
    <x v="1"/>
    <d v="2023-11-30T00:00:00"/>
    <x v="13"/>
    <x v="2"/>
    <s v="inactive"/>
    <n v="20"/>
    <s v="Daily"/>
    <s v="7-day click or 1-day view"/>
    <n v="0"/>
    <s v="N/A"/>
    <n v="2523"/>
    <n v="2851"/>
    <n v="0"/>
    <n v="14.01"/>
    <d v="2023-12-01T00:00:00"/>
  </r>
  <r>
    <d v="2023-11-01T00:00:00"/>
    <x v="1"/>
    <d v="2023-11-30T00:00:00"/>
    <x v="14"/>
    <x v="2"/>
    <s v="inactive"/>
    <n v="30"/>
    <s v="Daily"/>
    <s v="7-day click or 1-day view"/>
    <n v="176"/>
    <s v="actions:onsite_conversion.lead_grouped"/>
    <n v="24580"/>
    <n v="49961"/>
    <n v="4.0306818199999999"/>
    <n v="709.4"/>
    <d v="2023-12-31T00:00:00"/>
  </r>
  <r>
    <d v="2023-11-01T00:00:00"/>
    <x v="1"/>
    <d v="2023-11-30T00:00:00"/>
    <x v="15"/>
    <x v="1"/>
    <s v="inactive"/>
    <n v="7"/>
    <s v="Daily"/>
    <s v="7-day click or 1-day view"/>
    <n v="26"/>
    <s v="actions:onsite_conversion.lead_grouped"/>
    <n v="7125"/>
    <n v="8169"/>
    <n v="0.69846154000000005"/>
    <n v="18.16"/>
    <d v="2023-12-31T00:00:00"/>
  </r>
  <r>
    <d v="2023-11-01T00:00:00"/>
    <x v="1"/>
    <d v="2023-11-30T00:00:00"/>
    <x v="16"/>
    <x v="2"/>
    <s v="completed"/>
    <n v="25"/>
    <s v="Daily"/>
    <s v="7-day click or 1-day view"/>
    <n v="305"/>
    <s v="actions:onsite_conversion.lead_grouped"/>
    <n v="32846"/>
    <n v="53624"/>
    <n v="1.81577049"/>
    <n v="553.80999999999995"/>
    <d v="2023-12-31T00:00:00"/>
  </r>
  <r>
    <d v="2023-11-01T00:00:00"/>
    <x v="1"/>
    <d v="2023-11-30T00:00:00"/>
    <x v="17"/>
    <x v="2"/>
    <s v="inactive"/>
    <n v="30"/>
    <s v="Daily"/>
    <s v="7-day click or 1-day view"/>
    <n v="0"/>
    <s v="N/A"/>
    <n v="1790"/>
    <n v="3009"/>
    <n v="0"/>
    <n v="57.06"/>
    <d v="2023-12-30T00:00:00"/>
  </r>
  <r>
    <d v="2023-11-01T00:00:00"/>
    <x v="1"/>
    <d v="2023-11-30T00:00:00"/>
    <x v="18"/>
    <x v="2"/>
    <s v="inactive"/>
    <n v="25"/>
    <s v="Daily"/>
    <s v="7-day click or 1-day view"/>
    <n v="1"/>
    <s v="actions:onsite_conversion.lead_grouped"/>
    <n v="1410"/>
    <n v="1726"/>
    <n v="31.69"/>
    <n v="31.69"/>
    <d v="2023-12-31T00:00:00"/>
  </r>
  <r>
    <d v="2023-11-01T00:00:00"/>
    <x v="1"/>
    <d v="2023-11-30T00:00:00"/>
    <x v="19"/>
    <x v="2"/>
    <s v="inactive"/>
    <n v="20"/>
    <s v="Daily"/>
    <s v="7-day click or 1-day view"/>
    <n v="61"/>
    <s v="actions:onsite_conversion.lead_grouped"/>
    <n v="11656"/>
    <n v="17511"/>
    <n v="4.5586885199999996"/>
    <n v="278.08"/>
    <d v="2023-12-30T00:00:00"/>
  </r>
  <r>
    <d v="2023-11-01T00:00:00"/>
    <x v="1"/>
    <d v="2023-11-30T00:00:00"/>
    <x v="20"/>
    <x v="2"/>
    <s v="inactive"/>
    <n v="20"/>
    <s v="Daily"/>
    <s v="7-day click or 1-day view"/>
    <n v="2"/>
    <s v="actions:onsite_conversion.lead_grouped"/>
    <n v="642"/>
    <n v="760"/>
    <n v="7.3049999999999997"/>
    <n v="14.61"/>
    <d v="2023-12-20T00:00:00"/>
  </r>
  <r>
    <d v="2023-11-01T00:00:00"/>
    <x v="1"/>
    <d v="2023-11-30T00:00:00"/>
    <x v="21"/>
    <x v="2"/>
    <s v="completed"/>
    <n v="5"/>
    <s v="Daily"/>
    <s v="7-day click or 1-day view"/>
    <n v="2865"/>
    <s v="reach"/>
    <n v="2865"/>
    <n v="2923"/>
    <n v="2.1082024399999999"/>
    <n v="6.04"/>
    <d v="2023-12-31T00:00:00"/>
  </r>
  <r>
    <d v="2023-11-01T00:00:00"/>
    <x v="1"/>
    <d v="2023-11-30T00:00:00"/>
    <x v="22"/>
    <x v="2"/>
    <s v="completed"/>
    <n v="25"/>
    <s v="Daily"/>
    <s v="7-day click or 1-day view"/>
    <n v="24126"/>
    <s v="reach"/>
    <n v="24126"/>
    <n v="25655"/>
    <n v="2.09317748"/>
    <n v="50.5"/>
    <d v="2023-12-31T00:00:00"/>
  </r>
  <r>
    <d v="2023-11-01T00:00:00"/>
    <x v="1"/>
    <d v="2023-11-30T00:00:00"/>
    <x v="23"/>
    <x v="2"/>
    <s v="inactive"/>
    <n v="20"/>
    <s v="Daily"/>
    <s v="7-day click or 1-day view"/>
    <n v="0"/>
    <s v="N/A"/>
    <n v="531"/>
    <n v="709"/>
    <n v="0"/>
    <n v="19.95"/>
    <d v="2023-12-31T00:00:00"/>
  </r>
  <r>
    <d v="2023-11-01T00:00:00"/>
    <x v="1"/>
    <d v="2023-11-30T00:00:00"/>
    <x v="24"/>
    <x v="2"/>
    <s v="inactive"/>
    <n v="20"/>
    <s v="Daily"/>
    <s v="7-day click or 1-day view"/>
    <n v="1"/>
    <s v="actions:click_to_call_call_confirm"/>
    <n v="2859"/>
    <n v="3845"/>
    <n v="27.95"/>
    <n v="27.95"/>
    <d v="2023-12-31T00:00:00"/>
  </r>
  <r>
    <d v="2023-11-01T00:00:00"/>
    <x v="1"/>
    <d v="2023-11-30T00:00:00"/>
    <x v="25"/>
    <x v="0"/>
    <s v="completed"/>
    <n v="50"/>
    <s v="Lifetime"/>
    <s v="7-day click or 1-day view"/>
    <n v="29"/>
    <s v="actions:link_click"/>
    <n v="1768"/>
    <n v="2256"/>
    <n v="0.62620690000000001"/>
    <n v="18.16"/>
    <d v="2023-12-07T00:00:00"/>
  </r>
  <r>
    <d v="2023-11-01T00:00:00"/>
    <x v="1"/>
    <d v="2023-11-30T00:00:00"/>
    <x v="26"/>
    <x v="2"/>
    <s v="active"/>
    <n v="20"/>
    <s v="Daily"/>
    <s v="7-day click or 1-day view"/>
    <n v="16"/>
    <s v="actions:onsite_conversion.lead_grouped"/>
    <n v="985"/>
    <n v="1012"/>
    <n v="0.95125000000000004"/>
    <n v="15.22"/>
    <d v="2024-03-31T00:00:00"/>
  </r>
  <r>
    <d v="2023-12-01T00:00:00"/>
    <x v="2"/>
    <d v="2023-12-31T00:00:00"/>
    <x v="6"/>
    <x v="1"/>
    <s v="completed"/>
    <n v="5"/>
    <s v="Daily"/>
    <s v="7-day click or 1-day view"/>
    <n v="38"/>
    <s v="actions:onsite_conversion.lead_grouped"/>
    <n v="6870"/>
    <n v="8472"/>
    <n v="0.53131578999999995"/>
    <n v="20.190000000000001"/>
    <d v="2023-12-23T00:00:00"/>
  </r>
  <r>
    <d v="2023-12-01T00:00:00"/>
    <x v="2"/>
    <d v="2023-12-31T00:00:00"/>
    <x v="12"/>
    <x v="1"/>
    <s v="inactive"/>
    <n v="5"/>
    <s v="Daily"/>
    <s v="7-day click or 1-day view"/>
    <n v="24"/>
    <s v="actions:onsite_conversion.lead_grouped"/>
    <n v="5224"/>
    <n v="5806"/>
    <n v="0.38791667000000002"/>
    <n v="9.31"/>
    <d v="2023-12-02T00:00:00"/>
  </r>
  <r>
    <d v="2023-12-01T00:00:00"/>
    <x v="2"/>
    <d v="2023-12-31T00:00:00"/>
    <x v="14"/>
    <x v="2"/>
    <s v="inactive"/>
    <n v="30"/>
    <s v="Daily"/>
    <s v="7-day click or 1-day view"/>
    <n v="46"/>
    <s v="actions:onsite_conversion.lead_grouped"/>
    <n v="8190"/>
    <n v="9496"/>
    <n v="2.7004347800000001"/>
    <n v="124.22"/>
    <d v="2023-12-31T00:00:00"/>
  </r>
  <r>
    <d v="2023-12-01T00:00:00"/>
    <x v="2"/>
    <d v="2023-12-31T00:00:00"/>
    <x v="16"/>
    <x v="2"/>
    <s v="completed"/>
    <n v="25"/>
    <s v="Daily"/>
    <s v="7-day click or 1-day view"/>
    <n v="240"/>
    <s v="actions:onsite_conversion.lead_grouped"/>
    <n v="39275"/>
    <n v="51987"/>
    <n v="3.1252499999999999"/>
    <n v="750.06"/>
    <d v="2023-12-31T00:00:00"/>
  </r>
  <r>
    <d v="2023-12-01T00:00:00"/>
    <x v="2"/>
    <d v="2023-12-31T00:00:00"/>
    <x v="19"/>
    <x v="2"/>
    <s v="inactive"/>
    <n v="20"/>
    <s v="Daily"/>
    <s v="7-day click or 1-day view"/>
    <n v="35"/>
    <s v="actions:onsite_conversion.lead_grouped"/>
    <n v="5630"/>
    <n v="6206"/>
    <n v="2.32285714"/>
    <n v="81.3"/>
    <d v="2023-12-30T00:00:00"/>
  </r>
  <r>
    <d v="2023-12-01T00:00:00"/>
    <x v="2"/>
    <d v="2023-12-31T00:00:00"/>
    <x v="25"/>
    <x v="0"/>
    <s v="completed"/>
    <n v="50"/>
    <s v="Lifetime"/>
    <s v="7-day click or 1-day view"/>
    <n v="61"/>
    <s v="actions:link_click"/>
    <n v="3032"/>
    <n v="4466"/>
    <n v="0.52196721000000001"/>
    <n v="31.84"/>
    <d v="2023-12-07T00:00:00"/>
  </r>
  <r>
    <d v="2023-12-01T00:00:00"/>
    <x v="2"/>
    <d v="2023-12-31T00:00:00"/>
    <x v="26"/>
    <x v="2"/>
    <s v="active"/>
    <n v="20"/>
    <s v="Daily"/>
    <s v="7-day click or 1-day view"/>
    <n v="334"/>
    <s v="actions:onsite_conversion.lead_grouped"/>
    <n v="37890"/>
    <n v="52256"/>
    <n v="1.84946108"/>
    <n v="617.72"/>
    <d v="2024-03-31T00:00:00"/>
  </r>
  <r>
    <d v="2023-12-01T00:00:00"/>
    <x v="2"/>
    <d v="2023-12-31T00:00:00"/>
    <x v="27"/>
    <x v="2"/>
    <s v="active"/>
    <n v="20"/>
    <s v="Daily"/>
    <s v="7-day click or 1-day view"/>
    <n v="244"/>
    <s v="actions:onsite_conversion.lead_grouped"/>
    <n v="31576"/>
    <n v="40471"/>
    <n v="2.2644672099999998"/>
    <n v="552.53"/>
    <d v="2024-04-30T00:00:00"/>
  </r>
  <r>
    <d v="2023-12-01T00:00:00"/>
    <x v="2"/>
    <d v="2023-12-31T00:00:00"/>
    <x v="28"/>
    <x v="2"/>
    <s v="inactive"/>
    <n v="20"/>
    <s v="Daily"/>
    <s v="7-day click or 1-day view"/>
    <n v="225"/>
    <s v="actions:onsite_conversion.lead_grouped"/>
    <n v="33944"/>
    <n v="47277"/>
    <n v="2.3698222200000001"/>
    <n v="533.21"/>
    <d v="2024-02-29T00:00:00"/>
  </r>
  <r>
    <d v="2023-12-01T00:00:00"/>
    <x v="2"/>
    <d v="2023-12-31T00:00:00"/>
    <x v="29"/>
    <x v="1"/>
    <s v="active"/>
    <n v="5"/>
    <s v="Daily"/>
    <s v="7-day click or 1-day view"/>
    <n v="2311"/>
    <s v="actions:onsite_conversion.lead_grouped"/>
    <n v="110839"/>
    <n v="174633"/>
    <n v="5.6564259999999998E-2"/>
    <n v="130.72"/>
    <d v="2024-04-30T00:00:00"/>
  </r>
  <r>
    <d v="2023-12-01T00:00:00"/>
    <x v="2"/>
    <d v="2023-12-31T00:00:00"/>
    <x v="30"/>
    <x v="2"/>
    <s v="inactive"/>
    <n v="20"/>
    <s v="Daily"/>
    <s v="7-day click or 1-day view"/>
    <n v="5"/>
    <s v="actions:onsite_conversion.lead_grouped"/>
    <n v="1414"/>
    <n v="1447"/>
    <n v="5.32"/>
    <n v="26.6"/>
    <d v="2024-01-31T00:00:00"/>
  </r>
  <r>
    <d v="2023-12-01T00:00:00"/>
    <x v="2"/>
    <d v="2023-12-31T00:00:00"/>
    <x v="31"/>
    <x v="0"/>
    <s v="completed"/>
    <n v="150"/>
    <s v="Lifetime"/>
    <s v="7-day click or 1-day view"/>
    <n v="162"/>
    <s v="actions:link_click"/>
    <n v="5576"/>
    <n v="6595"/>
    <n v="0.39401235000000001"/>
    <n v="63.83"/>
    <d v="2024-01-18T00:00:00"/>
  </r>
  <r>
    <d v="2023-12-01T00:00:00"/>
    <x v="2"/>
    <d v="2023-12-31T00:00:00"/>
    <x v="32"/>
    <x v="2"/>
    <s v="completed"/>
    <n v="20"/>
    <s v="Daily"/>
    <s v="7-day click or 1-day view"/>
    <n v="0"/>
    <s v="N/A"/>
    <n v="1503"/>
    <n v="2111"/>
    <n v="0"/>
    <n v="32.25"/>
    <d v="2024-01-19T00:00:00"/>
  </r>
  <r>
    <d v="2023-12-01T00:00:00"/>
    <x v="2"/>
    <d v="2023-12-31T00:00:00"/>
    <x v="33"/>
    <x v="2"/>
    <s v="completed"/>
    <n v="20"/>
    <s v="Daily"/>
    <s v="7-day click or 1-day view"/>
    <n v="0"/>
    <s v="N/A"/>
    <n v="2370"/>
    <n v="2676"/>
    <n v="0"/>
    <n v="32.03"/>
    <d v="2024-01-19T00:00:00"/>
  </r>
  <r>
    <d v="2023-12-01T00:00:00"/>
    <x v="2"/>
    <d v="2023-12-31T00:00:00"/>
    <x v="34"/>
    <x v="2"/>
    <s v="active"/>
    <n v="20"/>
    <s v="Daily"/>
    <s v="7-day click or 1-day view"/>
    <n v="121"/>
    <s v="actions:onsite_conversion.lead_grouped"/>
    <n v="11289"/>
    <n v="17086"/>
    <n v="1.40231405"/>
    <n v="169.68"/>
    <d v="2024-04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AF9BB-4E6E-458C-9DB3-6D157A8151C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untry" colHeaderCaption="Month">
  <location ref="A21:E25" firstHeaderRow="1" firstDataRow="2" firstDataCol="1"/>
  <pivotFields count="16">
    <pivotField numFmtId="14"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>
      <items count="36">
        <item x="31"/>
        <item x="25"/>
        <item x="9"/>
        <item x="0"/>
        <item x="1"/>
        <item x="15"/>
        <item x="29"/>
        <item x="12"/>
        <item x="11"/>
        <item x="8"/>
        <item x="6"/>
        <item x="3"/>
        <item x="19"/>
        <item x="10"/>
        <item x="5"/>
        <item x="30"/>
        <item x="28"/>
        <item x="13"/>
        <item x="24"/>
        <item x="22"/>
        <item x="20"/>
        <item x="17"/>
        <item x="26"/>
        <item x="27"/>
        <item x="14"/>
        <item x="16"/>
        <item x="23"/>
        <item x="33"/>
        <item x="21"/>
        <item x="4"/>
        <item x="18"/>
        <item x="2"/>
        <item x="34"/>
        <item x="32"/>
        <item x="7"/>
        <item t="default"/>
      </items>
    </pivotField>
    <pivotField axis="axisRow" showAll="0">
      <items count="5">
        <item h="1" x="0"/>
        <item x="1"/>
        <item m="1" x="3"/>
        <item x="2"/>
        <item t="default"/>
      </items>
    </pivotField>
    <pivotField showAll="0"/>
    <pivotField numFmtId="1" showAll="0"/>
    <pivotField showAll="0"/>
    <pivotField showAll="0"/>
    <pivotField numFmtId="1" showAll="0"/>
    <pivotField showAll="0"/>
    <pivotField numFmtId="1" showAll="0"/>
    <pivotField numFmtId="164" showAll="0"/>
    <pivotField numFmtId="165" showAll="0"/>
    <pivotField numFmtId="165" showAll="0"/>
    <pivotField numFmtId="14" showAll="0"/>
  </pivotFields>
  <rowFields count="1">
    <field x="4"/>
  </rowFields>
  <rowItems count="3">
    <i>
      <x v="1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Campaign name clean" fld="3" subtotal="count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50085-6A78-49AE-A534-92B0FFF8D4C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5:B8" firstHeaderRow="1" firstDataRow="1" firstDataCol="1"/>
  <pivotFields count="16">
    <pivotField numFmtId="14" showAll="0"/>
    <pivotField showAll="0"/>
    <pivotField numFmtId="14" showAll="0"/>
    <pivotField dataField="1" showAll="0"/>
    <pivotField axis="axisRow" showAll="0">
      <items count="5">
        <item h="1" x="0"/>
        <item x="1"/>
        <item m="1" x="3"/>
        <item x="2"/>
        <item t="default"/>
      </items>
    </pivotField>
    <pivotField showAll="0"/>
    <pivotField numFmtId="1" showAll="0"/>
    <pivotField showAll="0"/>
    <pivotField showAll="0"/>
    <pivotField numFmtId="1" showAll="0"/>
    <pivotField showAll="0"/>
    <pivotField numFmtId="1" showAll="0"/>
    <pivotField numFmtId="164" showAll="0"/>
    <pivotField numFmtId="165" showAll="0"/>
    <pivotField numFmtId="165" showAll="0"/>
    <pivotField numFmtId="14" showAll="0"/>
  </pivotFields>
  <rowFields count="1">
    <field x="4"/>
  </rowFields>
  <rowItems count="3">
    <i>
      <x v="1"/>
    </i>
    <i>
      <x v="3"/>
    </i>
    <i t="grand">
      <x/>
    </i>
  </rowItems>
  <colItems count="1">
    <i/>
  </colItems>
  <dataFields count="1">
    <dataField name="Campaign name" fld="3" subtotal="count" baseField="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FCF7-A9CA-4082-B315-8C39108767C0}">
  <dimension ref="A3:F25"/>
  <sheetViews>
    <sheetView tabSelected="1" topLeftCell="A11" workbookViewId="0">
      <selection activeCell="A24" sqref="A24"/>
    </sheetView>
  </sheetViews>
  <sheetFormatPr defaultRowHeight="14.5" x14ac:dyDescent="0.35"/>
  <cols>
    <col min="1" max="1" width="27.08984375" bestFit="1" customWidth="1"/>
    <col min="2" max="2" width="8.81640625" bestFit="1" customWidth="1"/>
    <col min="3" max="3" width="9" bestFit="1" customWidth="1"/>
    <col min="4" max="4" width="8.54296875" bestFit="1" customWidth="1"/>
    <col min="5" max="5" width="10.6328125" bestFit="1" customWidth="1"/>
    <col min="6" max="6" width="27.08984375" bestFit="1" customWidth="1"/>
    <col min="7" max="7" width="29.90625" bestFit="1" customWidth="1"/>
    <col min="8" max="8" width="31.81640625" bestFit="1" customWidth="1"/>
    <col min="9" max="9" width="34.6328125" bestFit="1" customWidth="1"/>
  </cols>
  <sheetData>
    <row r="3" spans="1:5" x14ac:dyDescent="0.35">
      <c r="A3" s="28" t="s">
        <v>67</v>
      </c>
      <c r="B3" s="27"/>
      <c r="C3" s="27"/>
      <c r="D3" s="27"/>
      <c r="E3" s="27"/>
    </row>
    <row r="5" spans="1:5" x14ac:dyDescent="0.35">
      <c r="A5" s="18" t="s">
        <v>60</v>
      </c>
      <c r="B5" s="19" t="s">
        <v>66</v>
      </c>
    </row>
    <row r="6" spans="1:5" x14ac:dyDescent="0.35">
      <c r="A6" s="20" t="s">
        <v>62</v>
      </c>
      <c r="B6" s="24">
        <v>11</v>
      </c>
    </row>
    <row r="7" spans="1:5" x14ac:dyDescent="0.35">
      <c r="A7" s="21" t="s">
        <v>63</v>
      </c>
      <c r="B7" s="25">
        <v>30</v>
      </c>
    </row>
    <row r="8" spans="1:5" x14ac:dyDescent="0.35">
      <c r="A8" s="22" t="s">
        <v>64</v>
      </c>
      <c r="B8" s="26">
        <v>41</v>
      </c>
    </row>
    <row r="19" spans="1:6" x14ac:dyDescent="0.35">
      <c r="A19" s="28" t="s">
        <v>68</v>
      </c>
      <c r="B19" s="27"/>
      <c r="C19" s="27"/>
      <c r="D19" s="27"/>
      <c r="E19" s="27"/>
    </row>
    <row r="21" spans="1:6" x14ac:dyDescent="0.35">
      <c r="A21" s="18" t="s">
        <v>65</v>
      </c>
      <c r="B21" s="18" t="s">
        <v>69</v>
      </c>
      <c r="C21" s="30"/>
      <c r="D21" s="30"/>
      <c r="E21" s="31"/>
    </row>
    <row r="22" spans="1:6" x14ac:dyDescent="0.35">
      <c r="A22" s="18" t="s">
        <v>60</v>
      </c>
      <c r="B22" s="29" t="s">
        <v>70</v>
      </c>
      <c r="C22" s="32" t="s">
        <v>71</v>
      </c>
      <c r="D22" s="32" t="s">
        <v>72</v>
      </c>
      <c r="E22" s="19" t="s">
        <v>64</v>
      </c>
      <c r="F22" s="39" t="s">
        <v>73</v>
      </c>
    </row>
    <row r="23" spans="1:6" x14ac:dyDescent="0.35">
      <c r="A23" s="20" t="s">
        <v>62</v>
      </c>
      <c r="B23" s="33">
        <v>3</v>
      </c>
      <c r="C23" s="34">
        <v>4</v>
      </c>
      <c r="D23" s="34">
        <v>4</v>
      </c>
      <c r="E23" s="24">
        <v>11</v>
      </c>
      <c r="F23">
        <f>AVERAGE(A23:B23)</f>
        <v>3</v>
      </c>
    </row>
    <row r="24" spans="1:6" x14ac:dyDescent="0.35">
      <c r="A24" s="21" t="s">
        <v>63</v>
      </c>
      <c r="B24" s="35">
        <v>10</v>
      </c>
      <c r="C24" s="36">
        <v>14</v>
      </c>
      <c r="D24" s="36">
        <v>6</v>
      </c>
      <c r="E24" s="25">
        <v>30</v>
      </c>
      <c r="F24">
        <f>AVERAGE(A24:B24)</f>
        <v>10</v>
      </c>
    </row>
    <row r="25" spans="1:6" x14ac:dyDescent="0.35">
      <c r="A25" s="22" t="s">
        <v>64</v>
      </c>
      <c r="B25" s="37">
        <v>13</v>
      </c>
      <c r="C25" s="38">
        <v>18</v>
      </c>
      <c r="D25" s="38">
        <v>10</v>
      </c>
      <c r="E25" s="26">
        <v>41</v>
      </c>
      <c r="F25">
        <f>AVERAGE(A25:B25)</f>
        <v>13</v>
      </c>
    </row>
  </sheetData>
  <mergeCells count="2">
    <mergeCell ref="A3:E3"/>
    <mergeCell ref="A19:E19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workbookViewId="0">
      <selection activeCell="B1" sqref="B1:B1048576"/>
    </sheetView>
  </sheetViews>
  <sheetFormatPr defaultColWidth="20" defaultRowHeight="14.5" x14ac:dyDescent="0.35"/>
  <cols>
    <col min="1" max="1" width="16.54296875" style="4" bestFit="1" customWidth="1"/>
    <col min="2" max="2" width="16.54296875" style="7" customWidth="1"/>
    <col min="3" max="3" width="16" style="4" bestFit="1" customWidth="1"/>
    <col min="4" max="4" width="71.1796875" style="7" bestFit="1" customWidth="1"/>
    <col min="5" max="5" width="71.1796875" style="7" customWidth="1"/>
    <col min="6" max="6" width="19" style="7" bestFit="1" customWidth="1"/>
    <col min="7" max="7" width="14.90625" style="10" bestFit="1" customWidth="1"/>
    <col min="8" max="8" width="19.1796875" style="7" bestFit="1" customWidth="1"/>
    <col min="9" max="9" width="21.36328125" style="7" bestFit="1" customWidth="1"/>
    <col min="10" max="10" width="9.08984375" style="10" bestFit="1" customWidth="1"/>
    <col min="11" max="11" width="34.6328125" style="7" bestFit="1" customWidth="1"/>
    <col min="12" max="12" width="9.54296875" style="17" bestFit="1" customWidth="1"/>
    <col min="13" max="13" width="13.1796875" style="17" bestFit="1" customWidth="1"/>
    <col min="14" max="14" width="16.08984375" style="13" bestFit="1" customWidth="1"/>
    <col min="15" max="15" width="20.81640625" style="13" bestFit="1" customWidth="1"/>
    <col min="16" max="16" width="16" customWidth="1"/>
  </cols>
  <sheetData>
    <row r="1" spans="1:16" x14ac:dyDescent="0.35">
      <c r="A1" s="2" t="s">
        <v>0</v>
      </c>
      <c r="B1" s="14" t="s">
        <v>69</v>
      </c>
      <c r="C1" s="2" t="s">
        <v>1</v>
      </c>
      <c r="D1" s="14" t="s">
        <v>24</v>
      </c>
      <c r="E1" s="14" t="s">
        <v>60</v>
      </c>
      <c r="F1" s="5" t="s">
        <v>2</v>
      </c>
      <c r="G1" s="8" t="s">
        <v>3</v>
      </c>
      <c r="H1" s="5" t="s">
        <v>4</v>
      </c>
      <c r="I1" s="5" t="s">
        <v>5</v>
      </c>
      <c r="J1" s="8" t="s">
        <v>6</v>
      </c>
      <c r="K1" s="5" t="s">
        <v>7</v>
      </c>
      <c r="L1" s="15" t="s">
        <v>8</v>
      </c>
      <c r="M1" s="15" t="s">
        <v>9</v>
      </c>
      <c r="N1" s="11" t="s">
        <v>10</v>
      </c>
      <c r="O1" s="11" t="s">
        <v>11</v>
      </c>
      <c r="P1" s="1" t="s">
        <v>12</v>
      </c>
    </row>
    <row r="2" spans="1:16" x14ac:dyDescent="0.35">
      <c r="A2" s="3">
        <v>45200</v>
      </c>
      <c r="B2" s="6" t="str">
        <f>TEXT(A2,"mmm  yyyy")</f>
        <v>Oct  2023</v>
      </c>
      <c r="C2" s="3">
        <v>45230</v>
      </c>
      <c r="D2" s="6" t="s">
        <v>26</v>
      </c>
      <c r="E2" s="6" t="s">
        <v>61</v>
      </c>
      <c r="F2" s="6" t="s">
        <v>13</v>
      </c>
      <c r="G2" s="9">
        <v>7</v>
      </c>
      <c r="H2" s="6" t="s">
        <v>14</v>
      </c>
      <c r="I2" s="6" t="s">
        <v>15</v>
      </c>
      <c r="J2" s="9">
        <v>37</v>
      </c>
      <c r="K2" s="6" t="s">
        <v>16</v>
      </c>
      <c r="L2" s="16">
        <v>12595</v>
      </c>
      <c r="M2" s="16">
        <v>17503</v>
      </c>
      <c r="N2" s="12">
        <v>5.8778378399999998</v>
      </c>
      <c r="O2" s="12">
        <v>217.48</v>
      </c>
      <c r="P2" s="3">
        <f ca="1">TODAY()</f>
        <v>46154</v>
      </c>
    </row>
    <row r="3" spans="1:16" x14ac:dyDescent="0.35">
      <c r="A3" s="3">
        <v>45200</v>
      </c>
      <c r="B3" s="6" t="str">
        <f t="shared" ref="B3:B49" si="0">TEXT(A3,"mmm  yyyy")</f>
        <v>Oct  2023</v>
      </c>
      <c r="C3" s="3">
        <v>45230</v>
      </c>
      <c r="D3" s="6" t="s">
        <v>27</v>
      </c>
      <c r="E3" s="6" t="s">
        <v>62</v>
      </c>
      <c r="F3" s="6" t="s">
        <v>17</v>
      </c>
      <c r="G3" s="9">
        <v>5</v>
      </c>
      <c r="H3" s="6" t="s">
        <v>14</v>
      </c>
      <c r="I3" s="6" t="s">
        <v>15</v>
      </c>
      <c r="J3" s="9">
        <v>371</v>
      </c>
      <c r="K3" s="6" t="s">
        <v>16</v>
      </c>
      <c r="L3" s="16">
        <v>59716</v>
      </c>
      <c r="M3" s="16">
        <v>98351</v>
      </c>
      <c r="N3" s="12">
        <v>0.40420485</v>
      </c>
      <c r="O3" s="12">
        <v>149.96</v>
      </c>
      <c r="P3" s="3">
        <v>45230</v>
      </c>
    </row>
    <row r="4" spans="1:16" x14ac:dyDescent="0.35">
      <c r="A4" s="3">
        <v>45200</v>
      </c>
      <c r="B4" s="6" t="str">
        <f t="shared" si="0"/>
        <v>Oct  2023</v>
      </c>
      <c r="C4" s="3">
        <v>45230</v>
      </c>
      <c r="D4" s="6" t="s">
        <v>28</v>
      </c>
      <c r="E4" s="6" t="s">
        <v>63</v>
      </c>
      <c r="F4" s="6" t="s">
        <v>17</v>
      </c>
      <c r="G4" s="9">
        <v>20</v>
      </c>
      <c r="H4" s="6" t="s">
        <v>14</v>
      </c>
      <c r="I4" s="6" t="s">
        <v>15</v>
      </c>
      <c r="J4" s="9">
        <v>101</v>
      </c>
      <c r="K4" s="6" t="s">
        <v>16</v>
      </c>
      <c r="L4" s="16">
        <v>25634</v>
      </c>
      <c r="M4" s="16">
        <v>39879</v>
      </c>
      <c r="N4" s="12">
        <v>5.94049505</v>
      </c>
      <c r="O4" s="12">
        <v>599.99</v>
      </c>
      <c r="P4" s="3">
        <v>45230</v>
      </c>
    </row>
    <row r="5" spans="1:16" x14ac:dyDescent="0.35">
      <c r="A5" s="3">
        <v>45200</v>
      </c>
      <c r="B5" s="6" t="str">
        <f t="shared" si="0"/>
        <v>Oct  2023</v>
      </c>
      <c r="C5" s="3">
        <v>45230</v>
      </c>
      <c r="D5" s="6" t="s">
        <v>29</v>
      </c>
      <c r="E5" s="6" t="s">
        <v>63</v>
      </c>
      <c r="F5" s="6" t="s">
        <v>17</v>
      </c>
      <c r="G5" s="9">
        <v>20</v>
      </c>
      <c r="H5" s="6" t="s">
        <v>14</v>
      </c>
      <c r="I5" s="6" t="s">
        <v>15</v>
      </c>
      <c r="J5" s="9">
        <v>2</v>
      </c>
      <c r="K5" s="6" t="s">
        <v>18</v>
      </c>
      <c r="L5" s="16">
        <v>2397</v>
      </c>
      <c r="M5" s="16">
        <v>3236</v>
      </c>
      <c r="N5" s="12">
        <v>19.55</v>
      </c>
      <c r="O5" s="12">
        <v>39.1</v>
      </c>
      <c r="P5" s="3">
        <v>45209</v>
      </c>
    </row>
    <row r="6" spans="1:16" x14ac:dyDescent="0.35">
      <c r="A6" s="3">
        <v>45200</v>
      </c>
      <c r="B6" s="6" t="str">
        <f t="shared" si="0"/>
        <v>Oct  2023</v>
      </c>
      <c r="C6" s="3">
        <v>45230</v>
      </c>
      <c r="D6" s="6" t="s">
        <v>30</v>
      </c>
      <c r="E6" s="6" t="s">
        <v>63</v>
      </c>
      <c r="F6" s="6" t="s">
        <v>13</v>
      </c>
      <c r="G6" s="9">
        <v>20</v>
      </c>
      <c r="H6" s="6" t="s">
        <v>14</v>
      </c>
      <c r="I6" s="6" t="s">
        <v>15</v>
      </c>
      <c r="J6" s="9">
        <v>59</v>
      </c>
      <c r="K6" s="6" t="s">
        <v>16</v>
      </c>
      <c r="L6" s="16">
        <v>21322</v>
      </c>
      <c r="M6" s="16">
        <v>34174</v>
      </c>
      <c r="N6" s="12">
        <v>7.6544067800000004</v>
      </c>
      <c r="O6" s="12">
        <v>451.61</v>
      </c>
      <c r="P6" s="3">
        <v>45291</v>
      </c>
    </row>
    <row r="7" spans="1:16" x14ac:dyDescent="0.35">
      <c r="A7" s="3">
        <v>45200</v>
      </c>
      <c r="B7" s="6" t="str">
        <f t="shared" si="0"/>
        <v>Oct  2023</v>
      </c>
      <c r="C7" s="3">
        <v>45230</v>
      </c>
      <c r="D7" s="6" t="s">
        <v>31</v>
      </c>
      <c r="E7" s="6" t="s">
        <v>63</v>
      </c>
      <c r="F7" s="6" t="s">
        <v>17</v>
      </c>
      <c r="G7" s="9">
        <v>20</v>
      </c>
      <c r="H7" s="6" t="s">
        <v>14</v>
      </c>
      <c r="I7" s="6" t="s">
        <v>15</v>
      </c>
      <c r="J7" s="9">
        <v>23</v>
      </c>
      <c r="K7" s="6" t="s">
        <v>16</v>
      </c>
      <c r="L7" s="16">
        <v>7140</v>
      </c>
      <c r="M7" s="16">
        <v>12717</v>
      </c>
      <c r="N7" s="12">
        <v>7.5669565199999997</v>
      </c>
      <c r="O7" s="12">
        <v>174.04</v>
      </c>
      <c r="P7" s="3">
        <v>45227</v>
      </c>
    </row>
    <row r="8" spans="1:16" x14ac:dyDescent="0.35">
      <c r="A8" s="3">
        <v>45200</v>
      </c>
      <c r="B8" s="6" t="str">
        <f t="shared" si="0"/>
        <v>Oct  2023</v>
      </c>
      <c r="C8" s="3">
        <v>45230</v>
      </c>
      <c r="D8" s="6" t="s">
        <v>32</v>
      </c>
      <c r="E8" s="6" t="s">
        <v>62</v>
      </c>
      <c r="F8" s="6" t="s">
        <v>17</v>
      </c>
      <c r="G8" s="9">
        <v>5</v>
      </c>
      <c r="H8" s="6" t="s">
        <v>14</v>
      </c>
      <c r="I8" s="6" t="s">
        <v>15</v>
      </c>
      <c r="J8" s="9">
        <v>154</v>
      </c>
      <c r="K8" s="6" t="s">
        <v>16</v>
      </c>
      <c r="L8" s="16">
        <v>24594</v>
      </c>
      <c r="M8" s="16">
        <v>41992</v>
      </c>
      <c r="N8" s="12">
        <v>0.28253246999999998</v>
      </c>
      <c r="O8" s="12">
        <v>43.51</v>
      </c>
      <c r="P8" s="3">
        <v>45283</v>
      </c>
    </row>
    <row r="9" spans="1:16" x14ac:dyDescent="0.35">
      <c r="A9" s="3">
        <v>45200</v>
      </c>
      <c r="B9" s="6" t="str">
        <f t="shared" si="0"/>
        <v>Oct  2023</v>
      </c>
      <c r="C9" s="3">
        <v>45230</v>
      </c>
      <c r="D9" s="6" t="s">
        <v>33</v>
      </c>
      <c r="E9" s="6" t="s">
        <v>63</v>
      </c>
      <c r="F9" s="6" t="s">
        <v>19</v>
      </c>
      <c r="G9" s="9">
        <v>20</v>
      </c>
      <c r="H9" s="6" t="s">
        <v>14</v>
      </c>
      <c r="I9" s="6" t="s">
        <v>15</v>
      </c>
      <c r="J9" s="9">
        <v>4</v>
      </c>
      <c r="K9" s="6" t="s">
        <v>16</v>
      </c>
      <c r="L9" s="16">
        <v>3995</v>
      </c>
      <c r="M9" s="16">
        <v>5974</v>
      </c>
      <c r="N9" s="12">
        <v>24.175000000000001</v>
      </c>
      <c r="O9" s="12">
        <v>96.7</v>
      </c>
      <c r="P9" s="3">
        <v>45230</v>
      </c>
    </row>
    <row r="10" spans="1:16" x14ac:dyDescent="0.35">
      <c r="A10" s="3">
        <v>45200</v>
      </c>
      <c r="B10" s="6" t="str">
        <f t="shared" si="0"/>
        <v>Oct  2023</v>
      </c>
      <c r="C10" s="3">
        <v>45230</v>
      </c>
      <c r="D10" s="6" t="s">
        <v>34</v>
      </c>
      <c r="E10" s="6" t="s">
        <v>62</v>
      </c>
      <c r="F10" s="6" t="s">
        <v>17</v>
      </c>
      <c r="G10" s="9">
        <v>5</v>
      </c>
      <c r="H10" s="6" t="s">
        <v>14</v>
      </c>
      <c r="I10" s="6" t="s">
        <v>15</v>
      </c>
      <c r="J10" s="9">
        <v>29</v>
      </c>
      <c r="K10" s="6" t="s">
        <v>16</v>
      </c>
      <c r="L10" s="16">
        <v>8524</v>
      </c>
      <c r="M10" s="16">
        <v>11632</v>
      </c>
      <c r="N10" s="12">
        <v>0.95793103000000002</v>
      </c>
      <c r="O10" s="12">
        <v>27.78</v>
      </c>
      <c r="P10" s="3">
        <v>45230</v>
      </c>
    </row>
    <row r="11" spans="1:16" x14ac:dyDescent="0.35">
      <c r="A11" s="3">
        <v>45200</v>
      </c>
      <c r="B11" s="6" t="str">
        <f t="shared" si="0"/>
        <v>Oct  2023</v>
      </c>
      <c r="C11" s="3">
        <v>45230</v>
      </c>
      <c r="D11" s="6" t="s">
        <v>35</v>
      </c>
      <c r="E11" s="6" t="s">
        <v>61</v>
      </c>
      <c r="F11" s="6" t="s">
        <v>17</v>
      </c>
      <c r="G11" s="9">
        <v>30</v>
      </c>
      <c r="H11" s="6" t="s">
        <v>20</v>
      </c>
      <c r="I11" s="6" t="s">
        <v>15</v>
      </c>
      <c r="J11" s="9">
        <v>45</v>
      </c>
      <c r="K11" s="6" t="s">
        <v>21</v>
      </c>
      <c r="L11" s="16">
        <v>3940</v>
      </c>
      <c r="M11" s="16">
        <v>5097</v>
      </c>
      <c r="N11" s="12">
        <v>0.59222222000000002</v>
      </c>
      <c r="O11" s="12">
        <v>26.65</v>
      </c>
      <c r="P11" s="3">
        <v>45231</v>
      </c>
    </row>
    <row r="12" spans="1:16" x14ac:dyDescent="0.35">
      <c r="A12" s="3">
        <v>45200</v>
      </c>
      <c r="B12" s="6" t="str">
        <f t="shared" si="0"/>
        <v>Oct  2023</v>
      </c>
      <c r="C12" s="3">
        <v>45230</v>
      </c>
      <c r="D12" s="6" t="s">
        <v>36</v>
      </c>
      <c r="E12" s="6" t="s">
        <v>63</v>
      </c>
      <c r="F12" s="6" t="s">
        <v>17</v>
      </c>
      <c r="G12" s="9">
        <v>20</v>
      </c>
      <c r="H12" s="6" t="s">
        <v>14</v>
      </c>
      <c r="I12" s="6" t="s">
        <v>15</v>
      </c>
      <c r="J12" s="9">
        <v>0</v>
      </c>
      <c r="K12" s="6" t="s">
        <v>25</v>
      </c>
      <c r="L12" s="16">
        <v>6817</v>
      </c>
      <c r="M12" s="16">
        <v>9293</v>
      </c>
      <c r="N12" s="12">
        <v>0</v>
      </c>
      <c r="O12" s="12">
        <v>36.61</v>
      </c>
      <c r="P12" s="3">
        <v>45237</v>
      </c>
    </row>
    <row r="13" spans="1:16" x14ac:dyDescent="0.35">
      <c r="A13" s="3">
        <v>45200</v>
      </c>
      <c r="B13" s="6" t="str">
        <f t="shared" si="0"/>
        <v>Oct  2023</v>
      </c>
      <c r="C13" s="3">
        <v>45230</v>
      </c>
      <c r="D13" s="6" t="s">
        <v>37</v>
      </c>
      <c r="E13" s="6" t="s">
        <v>62</v>
      </c>
      <c r="F13" s="6" t="s">
        <v>17</v>
      </c>
      <c r="G13" s="9">
        <v>5</v>
      </c>
      <c r="H13" s="6" t="s">
        <v>14</v>
      </c>
      <c r="I13" s="6" t="s">
        <v>15</v>
      </c>
      <c r="J13" s="9">
        <v>8</v>
      </c>
      <c r="K13" s="6" t="s">
        <v>16</v>
      </c>
      <c r="L13" s="16">
        <v>3761</v>
      </c>
      <c r="M13" s="16">
        <v>4613</v>
      </c>
      <c r="N13" s="12">
        <v>1.20875</v>
      </c>
      <c r="O13" s="12">
        <v>9.67</v>
      </c>
      <c r="P13" s="3">
        <v>45237</v>
      </c>
    </row>
    <row r="14" spans="1:16" x14ac:dyDescent="0.35">
      <c r="A14" s="3">
        <v>45231</v>
      </c>
      <c r="B14" s="6" t="str">
        <f t="shared" si="0"/>
        <v>Nov  2023</v>
      </c>
      <c r="C14" s="3">
        <v>45260</v>
      </c>
      <c r="D14" s="6" t="s">
        <v>26</v>
      </c>
      <c r="E14" s="6" t="s">
        <v>61</v>
      </c>
      <c r="F14" s="6" t="s">
        <v>13</v>
      </c>
      <c r="G14" s="9">
        <v>7</v>
      </c>
      <c r="H14" s="6" t="s">
        <v>14</v>
      </c>
      <c r="I14" s="6" t="s">
        <v>15</v>
      </c>
      <c r="J14" s="9">
        <v>10</v>
      </c>
      <c r="K14" s="6" t="s">
        <v>16</v>
      </c>
      <c r="L14" s="16">
        <v>4788</v>
      </c>
      <c r="M14" s="16">
        <v>5602</v>
      </c>
      <c r="N14" s="12">
        <v>8.9670000000000005</v>
      </c>
      <c r="O14" s="12">
        <v>89.67</v>
      </c>
      <c r="P14" s="3">
        <f ca="1">TODAY()</f>
        <v>46154</v>
      </c>
    </row>
    <row r="15" spans="1:16" x14ac:dyDescent="0.35">
      <c r="A15" s="3">
        <v>45231</v>
      </c>
      <c r="B15" s="6" t="str">
        <f t="shared" si="0"/>
        <v>Nov  2023</v>
      </c>
      <c r="C15" s="3">
        <v>45260</v>
      </c>
      <c r="D15" s="6" t="s">
        <v>30</v>
      </c>
      <c r="E15" s="6" t="s">
        <v>63</v>
      </c>
      <c r="F15" s="6" t="s">
        <v>13</v>
      </c>
      <c r="G15" s="9">
        <v>20</v>
      </c>
      <c r="H15" s="6" t="s">
        <v>14</v>
      </c>
      <c r="I15" s="6" t="s">
        <v>15</v>
      </c>
      <c r="J15" s="9">
        <v>23</v>
      </c>
      <c r="K15" s="6" t="s">
        <v>16</v>
      </c>
      <c r="L15" s="16">
        <v>7633</v>
      </c>
      <c r="M15" s="16">
        <v>10120</v>
      </c>
      <c r="N15" s="12">
        <v>6.9208695699999998</v>
      </c>
      <c r="O15" s="12">
        <v>159.18</v>
      </c>
      <c r="P15" s="3">
        <v>45291</v>
      </c>
    </row>
    <row r="16" spans="1:16" x14ac:dyDescent="0.35">
      <c r="A16" s="3">
        <v>45231</v>
      </c>
      <c r="B16" s="6" t="str">
        <f t="shared" si="0"/>
        <v>Nov  2023</v>
      </c>
      <c r="C16" s="3">
        <v>45260</v>
      </c>
      <c r="D16" s="6" t="s">
        <v>32</v>
      </c>
      <c r="E16" s="6" t="s">
        <v>62</v>
      </c>
      <c r="F16" s="6" t="s">
        <v>17</v>
      </c>
      <c r="G16" s="9">
        <v>5</v>
      </c>
      <c r="H16" s="6" t="s">
        <v>14</v>
      </c>
      <c r="I16" s="6" t="s">
        <v>15</v>
      </c>
      <c r="J16" s="9">
        <v>233</v>
      </c>
      <c r="K16" s="6" t="s">
        <v>16</v>
      </c>
      <c r="L16" s="16">
        <v>29519</v>
      </c>
      <c r="M16" s="16">
        <v>57015</v>
      </c>
      <c r="N16" s="12">
        <v>0.51309013000000003</v>
      </c>
      <c r="O16" s="12">
        <v>119.55</v>
      </c>
      <c r="P16" s="3">
        <v>45283</v>
      </c>
    </row>
    <row r="17" spans="1:16" x14ac:dyDescent="0.35">
      <c r="A17" s="3">
        <v>45231</v>
      </c>
      <c r="B17" s="6" t="str">
        <f t="shared" si="0"/>
        <v>Nov  2023</v>
      </c>
      <c r="C17" s="3">
        <v>45260</v>
      </c>
      <c r="D17" s="6" t="s">
        <v>35</v>
      </c>
      <c r="E17" s="6" t="s">
        <v>61</v>
      </c>
      <c r="F17" s="6" t="s">
        <v>17</v>
      </c>
      <c r="G17" s="9">
        <v>30</v>
      </c>
      <c r="H17" s="6" t="s">
        <v>20</v>
      </c>
      <c r="I17" s="6" t="s">
        <v>15</v>
      </c>
      <c r="J17" s="9">
        <v>10</v>
      </c>
      <c r="K17" s="6" t="s">
        <v>21</v>
      </c>
      <c r="L17" s="16">
        <v>641</v>
      </c>
      <c r="M17" s="16">
        <v>664</v>
      </c>
      <c r="N17" s="12">
        <v>0.33500000000000002</v>
      </c>
      <c r="O17" s="12">
        <v>3.35</v>
      </c>
      <c r="P17" s="3">
        <v>45231</v>
      </c>
    </row>
    <row r="18" spans="1:16" x14ac:dyDescent="0.35">
      <c r="A18" s="3">
        <v>45231</v>
      </c>
      <c r="B18" s="6" t="str">
        <f t="shared" si="0"/>
        <v>Nov  2023</v>
      </c>
      <c r="C18" s="3">
        <v>45260</v>
      </c>
      <c r="D18" s="6" t="s">
        <v>36</v>
      </c>
      <c r="E18" s="6" t="s">
        <v>63</v>
      </c>
      <c r="F18" s="6" t="s">
        <v>17</v>
      </c>
      <c r="G18" s="9">
        <v>20</v>
      </c>
      <c r="H18" s="6" t="s">
        <v>14</v>
      </c>
      <c r="I18" s="6" t="s">
        <v>15</v>
      </c>
      <c r="J18" s="9">
        <v>2</v>
      </c>
      <c r="K18" s="6" t="s">
        <v>18</v>
      </c>
      <c r="L18" s="16">
        <v>6012</v>
      </c>
      <c r="M18" s="16">
        <v>9197</v>
      </c>
      <c r="N18" s="12">
        <v>20</v>
      </c>
      <c r="O18" s="12">
        <v>40</v>
      </c>
      <c r="P18" s="3">
        <v>45237</v>
      </c>
    </row>
    <row r="19" spans="1:16" x14ac:dyDescent="0.35">
      <c r="A19" s="3">
        <v>45231</v>
      </c>
      <c r="B19" s="6" t="str">
        <f t="shared" si="0"/>
        <v>Nov  2023</v>
      </c>
      <c r="C19" s="3">
        <v>45260</v>
      </c>
      <c r="D19" s="6" t="s">
        <v>37</v>
      </c>
      <c r="E19" s="6" t="s">
        <v>62</v>
      </c>
      <c r="F19" s="6" t="s">
        <v>17</v>
      </c>
      <c r="G19" s="9">
        <v>5</v>
      </c>
      <c r="H19" s="6" t="s">
        <v>14</v>
      </c>
      <c r="I19" s="6" t="s">
        <v>15</v>
      </c>
      <c r="J19" s="9">
        <v>0</v>
      </c>
      <c r="K19" s="6" t="s">
        <v>25</v>
      </c>
      <c r="L19" s="16">
        <v>293</v>
      </c>
      <c r="M19" s="16">
        <v>302</v>
      </c>
      <c r="N19" s="12">
        <v>0</v>
      </c>
      <c r="O19" s="12">
        <v>0.51</v>
      </c>
      <c r="P19" s="3">
        <v>45237</v>
      </c>
    </row>
    <row r="20" spans="1:16" x14ac:dyDescent="0.35">
      <c r="A20" s="3">
        <v>45231</v>
      </c>
      <c r="B20" s="6" t="str">
        <f t="shared" si="0"/>
        <v>Nov  2023</v>
      </c>
      <c r="C20" s="3">
        <v>45260</v>
      </c>
      <c r="D20" s="6" t="s">
        <v>38</v>
      </c>
      <c r="E20" s="6" t="s">
        <v>62</v>
      </c>
      <c r="F20" s="6" t="s">
        <v>13</v>
      </c>
      <c r="G20" s="9">
        <v>5</v>
      </c>
      <c r="H20" s="6" t="s">
        <v>14</v>
      </c>
      <c r="I20" s="6" t="s">
        <v>15</v>
      </c>
      <c r="J20" s="9">
        <v>297</v>
      </c>
      <c r="K20" s="6" t="s">
        <v>16</v>
      </c>
      <c r="L20" s="16">
        <v>48304</v>
      </c>
      <c r="M20" s="16">
        <v>82960</v>
      </c>
      <c r="N20" s="12">
        <v>0.46316498</v>
      </c>
      <c r="O20" s="12">
        <v>137.56</v>
      </c>
      <c r="P20" s="3">
        <v>45262</v>
      </c>
    </row>
    <row r="21" spans="1:16" x14ac:dyDescent="0.35">
      <c r="A21" s="3">
        <v>45231</v>
      </c>
      <c r="B21" s="6" t="str">
        <f t="shared" si="0"/>
        <v>Nov  2023</v>
      </c>
      <c r="C21" s="3">
        <v>45260</v>
      </c>
      <c r="D21" s="6" t="s">
        <v>39</v>
      </c>
      <c r="E21" s="6" t="s">
        <v>63</v>
      </c>
      <c r="F21" s="6" t="s">
        <v>13</v>
      </c>
      <c r="G21" s="9">
        <v>20</v>
      </c>
      <c r="H21" s="6" t="s">
        <v>14</v>
      </c>
      <c r="I21" s="6" t="s">
        <v>15</v>
      </c>
      <c r="J21" s="9">
        <v>0</v>
      </c>
      <c r="K21" s="6" t="s">
        <v>25</v>
      </c>
      <c r="L21" s="16">
        <v>2523</v>
      </c>
      <c r="M21" s="16">
        <v>2851</v>
      </c>
      <c r="N21" s="12">
        <v>0</v>
      </c>
      <c r="O21" s="12">
        <v>14.01</v>
      </c>
      <c r="P21" s="3">
        <v>45261</v>
      </c>
    </row>
    <row r="22" spans="1:16" x14ac:dyDescent="0.35">
      <c r="A22" s="3">
        <v>45231</v>
      </c>
      <c r="B22" s="6" t="str">
        <f t="shared" si="0"/>
        <v>Nov  2023</v>
      </c>
      <c r="C22" s="3">
        <v>45260</v>
      </c>
      <c r="D22" s="6" t="s">
        <v>40</v>
      </c>
      <c r="E22" s="6" t="s">
        <v>63</v>
      </c>
      <c r="F22" s="6" t="s">
        <v>13</v>
      </c>
      <c r="G22" s="9">
        <v>30</v>
      </c>
      <c r="H22" s="6" t="s">
        <v>14</v>
      </c>
      <c r="I22" s="6" t="s">
        <v>15</v>
      </c>
      <c r="J22" s="9">
        <v>176</v>
      </c>
      <c r="K22" s="6" t="s">
        <v>16</v>
      </c>
      <c r="L22" s="16">
        <v>24580</v>
      </c>
      <c r="M22" s="16">
        <v>49961</v>
      </c>
      <c r="N22" s="12">
        <v>4.0306818199999999</v>
      </c>
      <c r="O22" s="12">
        <v>709.4</v>
      </c>
      <c r="P22" s="3">
        <v>45291</v>
      </c>
    </row>
    <row r="23" spans="1:16" x14ac:dyDescent="0.35">
      <c r="A23" s="3">
        <v>45231</v>
      </c>
      <c r="B23" s="6" t="str">
        <f t="shared" si="0"/>
        <v>Nov  2023</v>
      </c>
      <c r="C23" s="3">
        <v>45260</v>
      </c>
      <c r="D23" s="6" t="s">
        <v>41</v>
      </c>
      <c r="E23" s="6" t="s">
        <v>62</v>
      </c>
      <c r="F23" s="6" t="s">
        <v>13</v>
      </c>
      <c r="G23" s="9">
        <v>7</v>
      </c>
      <c r="H23" s="6" t="s">
        <v>14</v>
      </c>
      <c r="I23" s="6" t="s">
        <v>15</v>
      </c>
      <c r="J23" s="9">
        <v>26</v>
      </c>
      <c r="K23" s="6" t="s">
        <v>16</v>
      </c>
      <c r="L23" s="16">
        <v>7125</v>
      </c>
      <c r="M23" s="16">
        <v>8169</v>
      </c>
      <c r="N23" s="12">
        <v>0.69846154000000005</v>
      </c>
      <c r="O23" s="12">
        <v>18.16</v>
      </c>
      <c r="P23" s="3">
        <v>45291</v>
      </c>
    </row>
    <row r="24" spans="1:16" x14ac:dyDescent="0.35">
      <c r="A24" s="3">
        <v>45231</v>
      </c>
      <c r="B24" s="6" t="str">
        <f t="shared" si="0"/>
        <v>Nov  2023</v>
      </c>
      <c r="C24" s="3">
        <v>45260</v>
      </c>
      <c r="D24" s="6" t="s">
        <v>42</v>
      </c>
      <c r="E24" s="6" t="s">
        <v>63</v>
      </c>
      <c r="F24" s="6" t="s">
        <v>17</v>
      </c>
      <c r="G24" s="9">
        <v>25</v>
      </c>
      <c r="H24" s="6" t="s">
        <v>14</v>
      </c>
      <c r="I24" s="6" t="s">
        <v>15</v>
      </c>
      <c r="J24" s="9">
        <v>305</v>
      </c>
      <c r="K24" s="6" t="s">
        <v>16</v>
      </c>
      <c r="L24" s="16">
        <v>32846</v>
      </c>
      <c r="M24" s="16">
        <v>53624</v>
      </c>
      <c r="N24" s="12">
        <v>1.81577049</v>
      </c>
      <c r="O24" s="12">
        <v>553.80999999999995</v>
      </c>
      <c r="P24" s="3">
        <v>45291</v>
      </c>
    </row>
    <row r="25" spans="1:16" x14ac:dyDescent="0.35">
      <c r="A25" s="3">
        <v>45231</v>
      </c>
      <c r="B25" s="6" t="str">
        <f t="shared" si="0"/>
        <v>Nov  2023</v>
      </c>
      <c r="C25" s="3">
        <v>45260</v>
      </c>
      <c r="D25" s="6" t="s">
        <v>43</v>
      </c>
      <c r="E25" s="6" t="s">
        <v>63</v>
      </c>
      <c r="F25" s="6" t="s">
        <v>13</v>
      </c>
      <c r="G25" s="9">
        <v>30</v>
      </c>
      <c r="H25" s="6" t="s">
        <v>14</v>
      </c>
      <c r="I25" s="6" t="s">
        <v>15</v>
      </c>
      <c r="J25" s="9">
        <v>0</v>
      </c>
      <c r="K25" s="6" t="s">
        <v>25</v>
      </c>
      <c r="L25" s="16">
        <v>1790</v>
      </c>
      <c r="M25" s="16">
        <v>3009</v>
      </c>
      <c r="N25" s="12">
        <v>0</v>
      </c>
      <c r="O25" s="12">
        <v>57.06</v>
      </c>
      <c r="P25" s="3">
        <v>45290</v>
      </c>
    </row>
    <row r="26" spans="1:16" x14ac:dyDescent="0.35">
      <c r="A26" s="3">
        <v>45231</v>
      </c>
      <c r="B26" s="6" t="str">
        <f t="shared" si="0"/>
        <v>Nov  2023</v>
      </c>
      <c r="C26" s="3">
        <v>45260</v>
      </c>
      <c r="D26" s="6" t="s">
        <v>44</v>
      </c>
      <c r="E26" s="6" t="s">
        <v>63</v>
      </c>
      <c r="F26" s="6" t="s">
        <v>13</v>
      </c>
      <c r="G26" s="9">
        <v>25</v>
      </c>
      <c r="H26" s="6" t="s">
        <v>14</v>
      </c>
      <c r="I26" s="6" t="s">
        <v>15</v>
      </c>
      <c r="J26" s="9">
        <v>1</v>
      </c>
      <c r="K26" s="6" t="s">
        <v>16</v>
      </c>
      <c r="L26" s="16">
        <v>1410</v>
      </c>
      <c r="M26" s="16">
        <v>1726</v>
      </c>
      <c r="N26" s="12">
        <v>31.69</v>
      </c>
      <c r="O26" s="12">
        <v>31.69</v>
      </c>
      <c r="P26" s="3">
        <v>45291</v>
      </c>
    </row>
    <row r="27" spans="1:16" x14ac:dyDescent="0.35">
      <c r="A27" s="3">
        <v>45231</v>
      </c>
      <c r="B27" s="6" t="str">
        <f t="shared" si="0"/>
        <v>Nov  2023</v>
      </c>
      <c r="C27" s="3">
        <v>45260</v>
      </c>
      <c r="D27" s="6" t="s">
        <v>45</v>
      </c>
      <c r="E27" s="6" t="s">
        <v>63</v>
      </c>
      <c r="F27" s="6" t="s">
        <v>13</v>
      </c>
      <c r="G27" s="9">
        <v>20</v>
      </c>
      <c r="H27" s="6" t="s">
        <v>14</v>
      </c>
      <c r="I27" s="6" t="s">
        <v>15</v>
      </c>
      <c r="J27" s="9">
        <v>61</v>
      </c>
      <c r="K27" s="6" t="s">
        <v>16</v>
      </c>
      <c r="L27" s="16">
        <v>11656</v>
      </c>
      <c r="M27" s="16">
        <v>17511</v>
      </c>
      <c r="N27" s="12">
        <v>4.5586885199999996</v>
      </c>
      <c r="O27" s="12">
        <v>278.08</v>
      </c>
      <c r="P27" s="3">
        <v>45290</v>
      </c>
    </row>
    <row r="28" spans="1:16" x14ac:dyDescent="0.35">
      <c r="A28" s="3">
        <v>45231</v>
      </c>
      <c r="B28" s="6" t="str">
        <f t="shared" si="0"/>
        <v>Nov  2023</v>
      </c>
      <c r="C28" s="3">
        <v>45260</v>
      </c>
      <c r="D28" s="6" t="s">
        <v>46</v>
      </c>
      <c r="E28" s="6" t="s">
        <v>63</v>
      </c>
      <c r="F28" s="6" t="s">
        <v>13</v>
      </c>
      <c r="G28" s="9">
        <v>20</v>
      </c>
      <c r="H28" s="6" t="s">
        <v>14</v>
      </c>
      <c r="I28" s="6" t="s">
        <v>15</v>
      </c>
      <c r="J28" s="9">
        <v>2</v>
      </c>
      <c r="K28" s="6" t="s">
        <v>16</v>
      </c>
      <c r="L28" s="16">
        <v>642</v>
      </c>
      <c r="M28" s="16">
        <v>760</v>
      </c>
      <c r="N28" s="12">
        <v>7.3049999999999997</v>
      </c>
      <c r="O28" s="12">
        <v>14.61</v>
      </c>
      <c r="P28" s="3">
        <v>45280</v>
      </c>
    </row>
    <row r="29" spans="1:16" x14ac:dyDescent="0.35">
      <c r="A29" s="3">
        <v>45231</v>
      </c>
      <c r="B29" s="6" t="str">
        <f t="shared" si="0"/>
        <v>Nov  2023</v>
      </c>
      <c r="C29" s="3">
        <v>45260</v>
      </c>
      <c r="D29" s="6" t="s">
        <v>47</v>
      </c>
      <c r="E29" s="6" t="s">
        <v>63</v>
      </c>
      <c r="F29" s="6" t="s">
        <v>17</v>
      </c>
      <c r="G29" s="9">
        <v>5</v>
      </c>
      <c r="H29" s="6" t="s">
        <v>14</v>
      </c>
      <c r="I29" s="6" t="s">
        <v>15</v>
      </c>
      <c r="J29" s="9">
        <v>2865</v>
      </c>
      <c r="K29" s="6" t="s">
        <v>22</v>
      </c>
      <c r="L29" s="16">
        <v>2865</v>
      </c>
      <c r="M29" s="16">
        <v>2923</v>
      </c>
      <c r="N29" s="12">
        <v>2.1082024399999999</v>
      </c>
      <c r="O29" s="12">
        <v>6.04</v>
      </c>
      <c r="P29" s="3">
        <v>45291</v>
      </c>
    </row>
    <row r="30" spans="1:16" x14ac:dyDescent="0.35">
      <c r="A30" s="3">
        <v>45231</v>
      </c>
      <c r="B30" s="6" t="str">
        <f t="shared" si="0"/>
        <v>Nov  2023</v>
      </c>
      <c r="C30" s="3">
        <v>45260</v>
      </c>
      <c r="D30" s="6" t="s">
        <v>48</v>
      </c>
      <c r="E30" s="6" t="s">
        <v>63</v>
      </c>
      <c r="F30" s="6" t="s">
        <v>17</v>
      </c>
      <c r="G30" s="9">
        <v>25</v>
      </c>
      <c r="H30" s="6" t="s">
        <v>14</v>
      </c>
      <c r="I30" s="6" t="s">
        <v>15</v>
      </c>
      <c r="J30" s="9">
        <v>24126</v>
      </c>
      <c r="K30" s="6" t="s">
        <v>22</v>
      </c>
      <c r="L30" s="16">
        <v>24126</v>
      </c>
      <c r="M30" s="16">
        <v>25655</v>
      </c>
      <c r="N30" s="12">
        <v>2.09317748</v>
      </c>
      <c r="O30" s="12">
        <v>50.5</v>
      </c>
      <c r="P30" s="3">
        <v>45291</v>
      </c>
    </row>
    <row r="31" spans="1:16" x14ac:dyDescent="0.35">
      <c r="A31" s="3">
        <v>45231</v>
      </c>
      <c r="B31" s="6" t="str">
        <f t="shared" si="0"/>
        <v>Nov  2023</v>
      </c>
      <c r="C31" s="3">
        <v>45260</v>
      </c>
      <c r="D31" s="6" t="s">
        <v>49</v>
      </c>
      <c r="E31" s="6" t="s">
        <v>63</v>
      </c>
      <c r="F31" s="6" t="s">
        <v>13</v>
      </c>
      <c r="G31" s="9">
        <v>20</v>
      </c>
      <c r="H31" s="6" t="s">
        <v>14</v>
      </c>
      <c r="I31" s="6" t="s">
        <v>15</v>
      </c>
      <c r="J31" s="9">
        <v>0</v>
      </c>
      <c r="K31" s="6" t="s">
        <v>25</v>
      </c>
      <c r="L31" s="16">
        <v>531</v>
      </c>
      <c r="M31" s="16">
        <v>709</v>
      </c>
      <c r="N31" s="12">
        <v>0</v>
      </c>
      <c r="O31" s="12">
        <v>19.95</v>
      </c>
      <c r="P31" s="3">
        <v>45291</v>
      </c>
    </row>
    <row r="32" spans="1:16" x14ac:dyDescent="0.35">
      <c r="A32" s="3">
        <v>45231</v>
      </c>
      <c r="B32" s="6" t="str">
        <f t="shared" si="0"/>
        <v>Nov  2023</v>
      </c>
      <c r="C32" s="3">
        <v>45260</v>
      </c>
      <c r="D32" s="6" t="s">
        <v>50</v>
      </c>
      <c r="E32" s="6" t="s">
        <v>63</v>
      </c>
      <c r="F32" s="6" t="s">
        <v>13</v>
      </c>
      <c r="G32" s="9">
        <v>20</v>
      </c>
      <c r="H32" s="6" t="s">
        <v>14</v>
      </c>
      <c r="I32" s="6" t="s">
        <v>15</v>
      </c>
      <c r="J32" s="9">
        <v>1</v>
      </c>
      <c r="K32" s="6" t="s">
        <v>18</v>
      </c>
      <c r="L32" s="16">
        <v>2859</v>
      </c>
      <c r="M32" s="16">
        <v>3845</v>
      </c>
      <c r="N32" s="12">
        <v>27.95</v>
      </c>
      <c r="O32" s="12">
        <v>27.95</v>
      </c>
      <c r="P32" s="3">
        <v>45291</v>
      </c>
    </row>
    <row r="33" spans="1:16" x14ac:dyDescent="0.35">
      <c r="A33" s="3">
        <v>45231</v>
      </c>
      <c r="B33" s="6" t="str">
        <f t="shared" si="0"/>
        <v>Nov  2023</v>
      </c>
      <c r="C33" s="3">
        <v>45260</v>
      </c>
      <c r="D33" s="6" t="s">
        <v>51</v>
      </c>
      <c r="E33" s="6" t="s">
        <v>61</v>
      </c>
      <c r="F33" s="6" t="s">
        <v>17</v>
      </c>
      <c r="G33" s="9">
        <v>50</v>
      </c>
      <c r="H33" s="6" t="s">
        <v>20</v>
      </c>
      <c r="I33" s="6" t="s">
        <v>15</v>
      </c>
      <c r="J33" s="9">
        <v>29</v>
      </c>
      <c r="K33" s="6" t="s">
        <v>21</v>
      </c>
      <c r="L33" s="16">
        <v>1768</v>
      </c>
      <c r="M33" s="16">
        <v>2256</v>
      </c>
      <c r="N33" s="12">
        <v>0.62620690000000001</v>
      </c>
      <c r="O33" s="12">
        <v>18.16</v>
      </c>
      <c r="P33" s="3">
        <v>45267</v>
      </c>
    </row>
    <row r="34" spans="1:16" x14ac:dyDescent="0.35">
      <c r="A34" s="3">
        <v>45231</v>
      </c>
      <c r="B34" s="6" t="str">
        <f t="shared" si="0"/>
        <v>Nov  2023</v>
      </c>
      <c r="C34" s="3">
        <v>45260</v>
      </c>
      <c r="D34" s="6" t="s">
        <v>52</v>
      </c>
      <c r="E34" s="6" t="s">
        <v>63</v>
      </c>
      <c r="F34" s="6" t="s">
        <v>23</v>
      </c>
      <c r="G34" s="9">
        <v>20</v>
      </c>
      <c r="H34" s="6" t="s">
        <v>14</v>
      </c>
      <c r="I34" s="6" t="s">
        <v>15</v>
      </c>
      <c r="J34" s="9">
        <v>16</v>
      </c>
      <c r="K34" s="6" t="s">
        <v>16</v>
      </c>
      <c r="L34" s="16">
        <v>985</v>
      </c>
      <c r="M34" s="16">
        <v>1012</v>
      </c>
      <c r="N34" s="12">
        <v>0.95125000000000004</v>
      </c>
      <c r="O34" s="12">
        <v>15.22</v>
      </c>
      <c r="P34" s="3">
        <v>45382</v>
      </c>
    </row>
    <row r="35" spans="1:16" x14ac:dyDescent="0.35">
      <c r="A35" s="3">
        <v>45261</v>
      </c>
      <c r="B35" s="6" t="str">
        <f t="shared" si="0"/>
        <v>Dec  2023</v>
      </c>
      <c r="C35" s="3">
        <v>45291</v>
      </c>
      <c r="D35" s="6" t="s">
        <v>32</v>
      </c>
      <c r="E35" s="6" t="s">
        <v>62</v>
      </c>
      <c r="F35" s="6" t="s">
        <v>17</v>
      </c>
      <c r="G35" s="9">
        <v>5</v>
      </c>
      <c r="H35" s="6" t="s">
        <v>14</v>
      </c>
      <c r="I35" s="6" t="s">
        <v>15</v>
      </c>
      <c r="J35" s="9">
        <v>38</v>
      </c>
      <c r="K35" s="6" t="s">
        <v>16</v>
      </c>
      <c r="L35" s="16">
        <v>6870</v>
      </c>
      <c r="M35" s="16">
        <v>8472</v>
      </c>
      <c r="N35" s="12">
        <v>0.53131578999999995</v>
      </c>
      <c r="O35" s="12">
        <v>20.190000000000001</v>
      </c>
      <c r="P35" s="3">
        <v>45283</v>
      </c>
    </row>
    <row r="36" spans="1:16" x14ac:dyDescent="0.35">
      <c r="A36" s="3">
        <v>45261</v>
      </c>
      <c r="B36" s="6" t="str">
        <f t="shared" si="0"/>
        <v>Dec  2023</v>
      </c>
      <c r="C36" s="3">
        <v>45291</v>
      </c>
      <c r="D36" s="6" t="s">
        <v>38</v>
      </c>
      <c r="E36" s="6" t="s">
        <v>62</v>
      </c>
      <c r="F36" s="6" t="s">
        <v>13</v>
      </c>
      <c r="G36" s="9">
        <v>5</v>
      </c>
      <c r="H36" s="6" t="s">
        <v>14</v>
      </c>
      <c r="I36" s="6" t="s">
        <v>15</v>
      </c>
      <c r="J36" s="9">
        <v>24</v>
      </c>
      <c r="K36" s="6" t="s">
        <v>16</v>
      </c>
      <c r="L36" s="16">
        <v>5224</v>
      </c>
      <c r="M36" s="16">
        <v>5806</v>
      </c>
      <c r="N36" s="12">
        <v>0.38791667000000002</v>
      </c>
      <c r="O36" s="12">
        <v>9.31</v>
      </c>
      <c r="P36" s="3">
        <v>45262</v>
      </c>
    </row>
    <row r="37" spans="1:16" x14ac:dyDescent="0.35">
      <c r="A37" s="3">
        <v>45261</v>
      </c>
      <c r="B37" s="6" t="str">
        <f t="shared" si="0"/>
        <v>Dec  2023</v>
      </c>
      <c r="C37" s="3">
        <v>45291</v>
      </c>
      <c r="D37" s="6" t="s">
        <v>40</v>
      </c>
      <c r="E37" s="6" t="s">
        <v>63</v>
      </c>
      <c r="F37" s="6" t="s">
        <v>13</v>
      </c>
      <c r="G37" s="9">
        <v>30</v>
      </c>
      <c r="H37" s="6" t="s">
        <v>14</v>
      </c>
      <c r="I37" s="6" t="s">
        <v>15</v>
      </c>
      <c r="J37" s="9">
        <v>46</v>
      </c>
      <c r="K37" s="6" t="s">
        <v>16</v>
      </c>
      <c r="L37" s="16">
        <v>8190</v>
      </c>
      <c r="M37" s="16">
        <v>9496</v>
      </c>
      <c r="N37" s="12">
        <v>2.7004347800000001</v>
      </c>
      <c r="O37" s="12">
        <v>124.22</v>
      </c>
      <c r="P37" s="3">
        <v>45291</v>
      </c>
    </row>
    <row r="38" spans="1:16" x14ac:dyDescent="0.35">
      <c r="A38" s="3">
        <v>45261</v>
      </c>
      <c r="B38" s="6" t="str">
        <f t="shared" si="0"/>
        <v>Dec  2023</v>
      </c>
      <c r="C38" s="3">
        <v>45291</v>
      </c>
      <c r="D38" s="6" t="s">
        <v>42</v>
      </c>
      <c r="E38" s="6" t="s">
        <v>63</v>
      </c>
      <c r="F38" s="6" t="s">
        <v>17</v>
      </c>
      <c r="G38" s="9">
        <v>25</v>
      </c>
      <c r="H38" s="6" t="s">
        <v>14</v>
      </c>
      <c r="I38" s="6" t="s">
        <v>15</v>
      </c>
      <c r="J38" s="9">
        <v>240</v>
      </c>
      <c r="K38" s="6" t="s">
        <v>16</v>
      </c>
      <c r="L38" s="16">
        <v>39275</v>
      </c>
      <c r="M38" s="16">
        <v>51987</v>
      </c>
      <c r="N38" s="12">
        <v>3.1252499999999999</v>
      </c>
      <c r="O38" s="12">
        <v>750.06</v>
      </c>
      <c r="P38" s="3">
        <v>45291</v>
      </c>
    </row>
    <row r="39" spans="1:16" x14ac:dyDescent="0.35">
      <c r="A39" s="3">
        <v>45261</v>
      </c>
      <c r="B39" s="6" t="str">
        <f t="shared" si="0"/>
        <v>Dec  2023</v>
      </c>
      <c r="C39" s="3">
        <v>45291</v>
      </c>
      <c r="D39" s="6" t="s">
        <v>45</v>
      </c>
      <c r="E39" s="6" t="s">
        <v>63</v>
      </c>
      <c r="F39" s="6" t="s">
        <v>13</v>
      </c>
      <c r="G39" s="9">
        <v>20</v>
      </c>
      <c r="H39" s="6" t="s">
        <v>14</v>
      </c>
      <c r="I39" s="6" t="s">
        <v>15</v>
      </c>
      <c r="J39" s="9">
        <v>35</v>
      </c>
      <c r="K39" s="6" t="s">
        <v>16</v>
      </c>
      <c r="L39" s="16">
        <v>5630</v>
      </c>
      <c r="M39" s="16">
        <v>6206</v>
      </c>
      <c r="N39" s="12">
        <v>2.32285714</v>
      </c>
      <c r="O39" s="12">
        <v>81.3</v>
      </c>
      <c r="P39" s="3">
        <v>45290</v>
      </c>
    </row>
    <row r="40" spans="1:16" x14ac:dyDescent="0.35">
      <c r="A40" s="3">
        <v>45261</v>
      </c>
      <c r="B40" s="6" t="str">
        <f t="shared" si="0"/>
        <v>Dec  2023</v>
      </c>
      <c r="C40" s="3">
        <v>45291</v>
      </c>
      <c r="D40" s="6" t="s">
        <v>51</v>
      </c>
      <c r="E40" s="6" t="s">
        <v>61</v>
      </c>
      <c r="F40" s="6" t="s">
        <v>17</v>
      </c>
      <c r="G40" s="9">
        <v>50</v>
      </c>
      <c r="H40" s="6" t="s">
        <v>20</v>
      </c>
      <c r="I40" s="6" t="s">
        <v>15</v>
      </c>
      <c r="J40" s="9">
        <v>61</v>
      </c>
      <c r="K40" s="6" t="s">
        <v>21</v>
      </c>
      <c r="L40" s="16">
        <v>3032</v>
      </c>
      <c r="M40" s="16">
        <v>4466</v>
      </c>
      <c r="N40" s="12">
        <v>0.52196721000000001</v>
      </c>
      <c r="O40" s="12">
        <v>31.84</v>
      </c>
      <c r="P40" s="3">
        <v>45267</v>
      </c>
    </row>
    <row r="41" spans="1:16" x14ac:dyDescent="0.35">
      <c r="A41" s="3">
        <v>45261</v>
      </c>
      <c r="B41" s="6" t="str">
        <f t="shared" si="0"/>
        <v>Dec  2023</v>
      </c>
      <c r="C41" s="3">
        <v>45291</v>
      </c>
      <c r="D41" s="6" t="s">
        <v>52</v>
      </c>
      <c r="E41" s="6" t="s">
        <v>63</v>
      </c>
      <c r="F41" s="6" t="s">
        <v>23</v>
      </c>
      <c r="G41" s="9">
        <v>20</v>
      </c>
      <c r="H41" s="6" t="s">
        <v>14</v>
      </c>
      <c r="I41" s="6" t="s">
        <v>15</v>
      </c>
      <c r="J41" s="9">
        <v>334</v>
      </c>
      <c r="K41" s="6" t="s">
        <v>16</v>
      </c>
      <c r="L41" s="16">
        <v>37890</v>
      </c>
      <c r="M41" s="16">
        <v>52256</v>
      </c>
      <c r="N41" s="12">
        <v>1.84946108</v>
      </c>
      <c r="O41" s="12">
        <v>617.72</v>
      </c>
      <c r="P41" s="3">
        <v>45382</v>
      </c>
    </row>
    <row r="42" spans="1:16" x14ac:dyDescent="0.35">
      <c r="A42" s="3">
        <v>45261</v>
      </c>
      <c r="B42" s="6" t="str">
        <f t="shared" si="0"/>
        <v>Dec  2023</v>
      </c>
      <c r="C42" s="3">
        <v>45291</v>
      </c>
      <c r="D42" s="6" t="s">
        <v>53</v>
      </c>
      <c r="E42" s="6" t="s">
        <v>63</v>
      </c>
      <c r="F42" s="6" t="s">
        <v>23</v>
      </c>
      <c r="G42" s="9">
        <v>20</v>
      </c>
      <c r="H42" s="6" t="s">
        <v>14</v>
      </c>
      <c r="I42" s="6" t="s">
        <v>15</v>
      </c>
      <c r="J42" s="9">
        <v>244</v>
      </c>
      <c r="K42" s="6" t="s">
        <v>16</v>
      </c>
      <c r="L42" s="16">
        <v>31576</v>
      </c>
      <c r="M42" s="16">
        <v>40471</v>
      </c>
      <c r="N42" s="12">
        <v>2.2644672099999998</v>
      </c>
      <c r="O42" s="12">
        <v>552.53</v>
      </c>
      <c r="P42" s="3">
        <v>45412</v>
      </c>
    </row>
    <row r="43" spans="1:16" x14ac:dyDescent="0.35">
      <c r="A43" s="3">
        <v>45261</v>
      </c>
      <c r="B43" s="6" t="str">
        <f t="shared" si="0"/>
        <v>Dec  2023</v>
      </c>
      <c r="C43" s="3">
        <v>45291</v>
      </c>
      <c r="D43" s="6" t="s">
        <v>54</v>
      </c>
      <c r="E43" s="6" t="s">
        <v>63</v>
      </c>
      <c r="F43" s="6" t="s">
        <v>13</v>
      </c>
      <c r="G43" s="9">
        <v>20</v>
      </c>
      <c r="H43" s="6" t="s">
        <v>14</v>
      </c>
      <c r="I43" s="6" t="s">
        <v>15</v>
      </c>
      <c r="J43" s="9">
        <v>225</v>
      </c>
      <c r="K43" s="6" t="s">
        <v>16</v>
      </c>
      <c r="L43" s="16">
        <v>33944</v>
      </c>
      <c r="M43" s="16">
        <v>47277</v>
      </c>
      <c r="N43" s="12">
        <v>2.3698222200000001</v>
      </c>
      <c r="O43" s="12">
        <v>533.21</v>
      </c>
      <c r="P43" s="3">
        <v>45351</v>
      </c>
    </row>
    <row r="44" spans="1:16" x14ac:dyDescent="0.35">
      <c r="A44" s="3">
        <v>45261</v>
      </c>
      <c r="B44" s="6" t="str">
        <f t="shared" si="0"/>
        <v>Dec  2023</v>
      </c>
      <c r="C44" s="3">
        <v>45291</v>
      </c>
      <c r="D44" s="6" t="s">
        <v>55</v>
      </c>
      <c r="E44" s="6" t="s">
        <v>62</v>
      </c>
      <c r="F44" s="6" t="s">
        <v>23</v>
      </c>
      <c r="G44" s="9">
        <v>5</v>
      </c>
      <c r="H44" s="6" t="s">
        <v>14</v>
      </c>
      <c r="I44" s="6" t="s">
        <v>15</v>
      </c>
      <c r="J44" s="9">
        <v>2311</v>
      </c>
      <c r="K44" s="6" t="s">
        <v>16</v>
      </c>
      <c r="L44" s="16">
        <v>110839</v>
      </c>
      <c r="M44" s="16">
        <v>174633</v>
      </c>
      <c r="N44" s="12">
        <v>5.6564259999999998E-2</v>
      </c>
      <c r="O44" s="12">
        <v>130.72</v>
      </c>
      <c r="P44" s="3">
        <v>45412</v>
      </c>
    </row>
    <row r="45" spans="1:16" x14ac:dyDescent="0.35">
      <c r="A45" s="3">
        <v>45261</v>
      </c>
      <c r="B45" s="6" t="str">
        <f t="shared" si="0"/>
        <v>Dec  2023</v>
      </c>
      <c r="C45" s="3">
        <v>45291</v>
      </c>
      <c r="D45" s="6" t="s">
        <v>56</v>
      </c>
      <c r="E45" s="6" t="s">
        <v>63</v>
      </c>
      <c r="F45" s="6" t="s">
        <v>13</v>
      </c>
      <c r="G45" s="9">
        <v>20</v>
      </c>
      <c r="H45" s="6" t="s">
        <v>14</v>
      </c>
      <c r="I45" s="6" t="s">
        <v>15</v>
      </c>
      <c r="J45" s="9">
        <v>5</v>
      </c>
      <c r="K45" s="6" t="s">
        <v>16</v>
      </c>
      <c r="L45" s="16">
        <v>1414</v>
      </c>
      <c r="M45" s="16">
        <v>1447</v>
      </c>
      <c r="N45" s="12">
        <v>5.32</v>
      </c>
      <c r="O45" s="12">
        <v>26.6</v>
      </c>
      <c r="P45" s="3">
        <v>45322</v>
      </c>
    </row>
    <row r="46" spans="1:16" x14ac:dyDescent="0.35">
      <c r="A46" s="3">
        <v>45261</v>
      </c>
      <c r="B46" s="6" t="str">
        <f t="shared" si="0"/>
        <v>Dec  2023</v>
      </c>
      <c r="C46" s="3">
        <v>45291</v>
      </c>
      <c r="D46" s="23" t="s">
        <v>61</v>
      </c>
      <c r="E46" s="23" t="s">
        <v>61</v>
      </c>
      <c r="F46" s="6" t="s">
        <v>17</v>
      </c>
      <c r="G46" s="9">
        <v>150</v>
      </c>
      <c r="H46" s="6" t="s">
        <v>20</v>
      </c>
      <c r="I46" s="6" t="s">
        <v>15</v>
      </c>
      <c r="J46" s="9">
        <v>162</v>
      </c>
      <c r="K46" s="6" t="s">
        <v>21</v>
      </c>
      <c r="L46" s="16">
        <v>5576</v>
      </c>
      <c r="M46" s="16">
        <v>6595</v>
      </c>
      <c r="N46" s="12">
        <v>0.39401235000000001</v>
      </c>
      <c r="O46" s="12">
        <v>63.83</v>
      </c>
      <c r="P46" s="3">
        <v>45309</v>
      </c>
    </row>
    <row r="47" spans="1:16" x14ac:dyDescent="0.35">
      <c r="A47" s="3">
        <v>45261</v>
      </c>
      <c r="B47" s="6" t="str">
        <f t="shared" si="0"/>
        <v>Dec  2023</v>
      </c>
      <c r="C47" s="3">
        <v>45291</v>
      </c>
      <c r="D47" s="6" t="s">
        <v>57</v>
      </c>
      <c r="E47" s="6" t="s">
        <v>63</v>
      </c>
      <c r="F47" s="6" t="s">
        <v>17</v>
      </c>
      <c r="G47" s="9">
        <v>20</v>
      </c>
      <c r="H47" s="6" t="s">
        <v>14</v>
      </c>
      <c r="I47" s="6" t="s">
        <v>15</v>
      </c>
      <c r="J47" s="9">
        <v>0</v>
      </c>
      <c r="K47" s="6" t="s">
        <v>25</v>
      </c>
      <c r="L47" s="16">
        <v>1503</v>
      </c>
      <c r="M47" s="16">
        <v>2111</v>
      </c>
      <c r="N47" s="12">
        <v>0</v>
      </c>
      <c r="O47" s="12">
        <v>32.25</v>
      </c>
      <c r="P47" s="3">
        <v>45310</v>
      </c>
    </row>
    <row r="48" spans="1:16" x14ac:dyDescent="0.35">
      <c r="A48" s="3">
        <v>45261</v>
      </c>
      <c r="B48" s="6" t="str">
        <f t="shared" si="0"/>
        <v>Dec  2023</v>
      </c>
      <c r="C48" s="3">
        <v>45291</v>
      </c>
      <c r="D48" s="6" t="s">
        <v>58</v>
      </c>
      <c r="E48" s="6" t="s">
        <v>63</v>
      </c>
      <c r="F48" s="6" t="s">
        <v>17</v>
      </c>
      <c r="G48" s="9">
        <v>20</v>
      </c>
      <c r="H48" s="6" t="s">
        <v>14</v>
      </c>
      <c r="I48" s="6" t="s">
        <v>15</v>
      </c>
      <c r="J48" s="9">
        <v>0</v>
      </c>
      <c r="K48" s="6" t="s">
        <v>25</v>
      </c>
      <c r="L48" s="16">
        <v>2370</v>
      </c>
      <c r="M48" s="16">
        <v>2676</v>
      </c>
      <c r="N48" s="12">
        <v>0</v>
      </c>
      <c r="O48" s="12">
        <v>32.03</v>
      </c>
      <c r="P48" s="3">
        <v>45310</v>
      </c>
    </row>
    <row r="49" spans="1:16" x14ac:dyDescent="0.35">
      <c r="A49" s="3">
        <v>45261</v>
      </c>
      <c r="B49" s="6" t="str">
        <f t="shared" si="0"/>
        <v>Dec  2023</v>
      </c>
      <c r="C49" s="3">
        <v>45291</v>
      </c>
      <c r="D49" s="6" t="s">
        <v>59</v>
      </c>
      <c r="E49" s="6" t="s">
        <v>63</v>
      </c>
      <c r="F49" s="6" t="s">
        <v>23</v>
      </c>
      <c r="G49" s="9">
        <v>20</v>
      </c>
      <c r="H49" s="6" t="s">
        <v>14</v>
      </c>
      <c r="I49" s="6" t="s">
        <v>15</v>
      </c>
      <c r="J49" s="9">
        <v>121</v>
      </c>
      <c r="K49" s="6" t="s">
        <v>16</v>
      </c>
      <c r="L49" s="16">
        <v>11289</v>
      </c>
      <c r="M49" s="16">
        <v>17086</v>
      </c>
      <c r="N49" s="12">
        <v>1.40231405</v>
      </c>
      <c r="O49" s="12">
        <v>169.68</v>
      </c>
      <c r="P49" s="3">
        <v>45412</v>
      </c>
    </row>
  </sheetData>
  <sheetProtection formatCells="0" formatColumns="0" formatRows="0" insertColumns="0" insertRows="0" insertHyperlinks="0" deleteColumns="0" deleteRows="0" sort="0" autoFilter="0" pivotTables="0"/>
  <autoFilter ref="A1:P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Akorede Coker</cp:lastModifiedBy>
  <dcterms:created xsi:type="dcterms:W3CDTF">2024-03-11T11:33:20Z</dcterms:created>
  <dcterms:modified xsi:type="dcterms:W3CDTF">2026-05-12T18:04:23Z</dcterms:modified>
  <cp:category/>
</cp:coreProperties>
</file>